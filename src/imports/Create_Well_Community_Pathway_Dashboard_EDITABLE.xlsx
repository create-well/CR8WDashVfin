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PUBLIC PATHWAY" sheetId="2" state="visible" r:id="rId2"/>
    <sheet xmlns:r="http://schemas.openxmlformats.org/officeDocument/2006/relationships" name="ATTENDEE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COPY + TOUCHPOINTS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SURVEY SIGNALS" sheetId="7" state="visible" r:id="rId7"/>
    <sheet xmlns:r="http://schemas.openxmlformats.org/officeDocument/2006/relationships" name="TEAM + BOUNDARIES" sheetId="8" state="visible" r:id="rId8"/>
    <sheet xmlns:r="http://schemas.openxmlformats.org/officeDocument/2006/relationships" name="RESOURCES + SETTINGS" sheetId="9" state="visible" r:id="rId9"/>
    <sheet xmlns:r="http://schemas.openxmlformats.org/officeDocument/2006/relationships" name="CHANGE LOG" sheetId="10" state="visible" r:id="rId10"/>
  </sheets>
  <definedNames>
    <definedName name="_xlnm._FilterDatabase" localSheetId="1" hidden="1">'PUBLIC PATHWAY'!$A$13:$H$13</definedName>
    <definedName name="_xlnm._FilterDatabase" localSheetId="2" hidden="1">'ATTENDEES'!$A$4:$Q$4</definedName>
    <definedName name="_xlnm._FilterDatabase" localSheetId="3" hidden="1">'EVENTS'!$A$4:$K$4</definedName>
    <definedName name="_xlnm._FilterDatabase" localSheetId="4" hidden="1">'COPY + TOUCHPOINTS'!$A$4:$F$4</definedName>
    <definedName name="_xlnm._FilterDatabase" localSheetId="5" hidden="1">'METRICS'!$A$4:$F$4</definedName>
    <definedName name="_xlnm._FilterDatabase" localSheetId="6" hidden="1">'SURVEY SIGNALS'!$A$4:$F$4</definedName>
    <definedName name="_xlnm._FilterDatabase" localSheetId="7" hidden="1">'TEAM + BOUNDARIES'!$A$4:$E$4</definedName>
    <definedName name="_xlnm._FilterDatabase" localSheetId="8" hidden="1">'RESOURCES + SETTINGS'!$A$18:$D$18</definedName>
    <definedName name="_xlnm._FilterDatabase" localSheetId="9" hidden="1">'CHANGE LOG'!$A$4:$E$4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Fredoka"/>
      <b val="1"/>
      <color rgb="00FFFFFF"/>
      <sz val="20"/>
    </font>
    <font>
      <name val="Montserrat"/>
      <i val="1"/>
      <color rgb="00302824"/>
      <sz val="10"/>
    </font>
    <font>
      <name val="Fredoka"/>
      <b val="1"/>
      <color rgb="00FFFFFF"/>
      <sz val="12"/>
    </font>
    <font>
      <name val="Fredoka"/>
      <b val="1"/>
      <color rgb="00C25B38"/>
      <sz val="16"/>
    </font>
    <font>
      <name val="Blinker"/>
      <b val="1"/>
      <color rgb="00302824"/>
    </font>
    <font>
      <name val="Montserrat"/>
      <color rgb="00302824"/>
      <sz val="9"/>
    </font>
    <font>
      <name val="Fredoka"/>
      <b val="1"/>
      <color rgb="00302824"/>
    </font>
    <font>
      <b val="1"/>
      <color rgb="00302824"/>
    </font>
    <font>
      <name val="Fredoka"/>
      <b val="1"/>
      <color rgb="00302824"/>
      <sz val="14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C25B38"/>
      </patternFill>
    </fill>
    <fill>
      <patternFill patternType="solid">
        <fgColor rgb="00FFDEC2"/>
      </patternFill>
    </fill>
    <fill>
      <patternFill patternType="solid">
        <fgColor rgb="00FFF9F4"/>
      </patternFill>
    </fill>
    <fill>
      <patternFill patternType="solid">
        <fgColor rgb="00D4A771"/>
      </patternFill>
    </fill>
    <fill>
      <patternFill patternType="solid">
        <fgColor rgb="00FFFFFF"/>
      </patternFill>
    </fill>
    <fill>
      <patternFill patternType="solid">
        <fgColor rgb="00E8AF93"/>
      </patternFill>
    </fill>
    <fill>
      <patternFill patternType="solid">
        <fgColor rgb="00F1DFC1"/>
      </patternFill>
    </fill>
    <fill>
      <patternFill patternType="solid">
        <fgColor rgb="00DDE8D8"/>
      </patternFill>
    </fill>
  </fills>
  <borders count="2">
    <border>
      <left/>
      <right/>
      <top/>
      <bottom/>
      <diagonal/>
    </border>
    <border>
      <left style="thin">
        <color rgb="00D8CCC3"/>
      </left>
      <right style="thin">
        <color rgb="00D8CCC3"/>
      </right>
      <top style="thin">
        <color rgb="00D8CCC3"/>
      </top>
      <bottom style="thin">
        <color rgb="00D8CCC3"/>
      </bottom>
    </border>
  </borders>
  <cellStyleXfs count="2">
    <xf numFmtId="0" fontId="0" fillId="0" borderId="0"/>
    <xf numFmtId="0" fontId="1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1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7" fillId="7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wrapText="1"/>
    </xf>
    <xf numFmtId="0" fontId="8" fillId="5" borderId="0" applyAlignment="1" pivotButton="0" quotePrefix="0" xfId="0">
      <alignment horizontal="center"/>
    </xf>
    <xf numFmtId="0" fontId="9" fillId="9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0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DDE8D8"/>
        </patternFill>
      </fill>
    </dxf>
    <dxf>
      <fill>
        <patternFill patternType="solid">
          <fgColor rgb="00F4D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pathway signals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'METRICS'!B4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'METRICS'!$A$5:$A$10</f>
            </numRef>
          </cat>
          <val>
            <numRef>
              <f>'METRICS'!$B$5:$B$10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ublicPathway" displayName="PublicPathway" ref="A4:H9" headerRowCount="1">
  <autoFilter ref="A4:H9"/>
  <tableColumns count="8">
    <tableColumn id="1" name="Stage"/>
    <tableColumn id="2" name="Person state"/>
    <tableColumn id="3" name="Public experience"/>
    <tableColumn id="4" name="Single invitation"/>
    <tableColumn id="5" name="Value delivered first"/>
    <tableColumn id="6" name="Success signal"/>
    <tableColumn id="7" name="Owner"/>
    <tableColumn id="8" name="Boundar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eturnRhythm" displayName="ReturnRhythm" ref="A13:H19" headerRowCount="1">
  <autoFilter ref="A13:H19"/>
  <tableColumns count="8">
    <tableColumn id="1" name="When"/>
    <tableColumn id="2" name="Touchpoint"/>
    <tableColumn id="3" name="Purpose"/>
    <tableColumn id="4" name="CTA"/>
    <tableColumn id="5" name="Channel"/>
    <tableColumn id="6" name="Owner"/>
    <tableColumn id="7" name="Asset"/>
    <tableColumn id="8" name="Stop rul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AttendeeRelationships" displayName="AttendeeRelationships" ref="A4:Q204" headerRowCount="1">
  <autoFilter ref="A4:Q204"/>
  <tableColumns count="17">
    <tableColumn id="1" name="Attendee ID"/>
    <tableColumn id="2" name="Name"/>
    <tableColumn id="3" name="Email / handle"/>
    <tableColumn id="4" name="Event"/>
    <tableColumn id="5" name="Event date"/>
    <tableColumn id="6" name="How they arrived"/>
    <tableColumn id="7" name="Interest signal"/>
    <tableColumn id="8" name="What refills them"/>
    <tableColumn id="9" name="Permission"/>
    <tableColumn id="10" name="Thank-you"/>
    <tableColumn id="11" name="Public invite"/>
    <tableColumn id="12" name="Came home"/>
    <tableColumn id="13" name="Next invitation"/>
    <tableColumn id="14" name="Returned"/>
    <tableColumn id="15" name="Deeper pathway"/>
    <tableColumn id="16" name="Deepened"/>
    <tableColumn id="17" name="Notes / relationship contex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EventPlan" displayName="EventPlan" ref="A4:K104" headerRowCount="1">
  <autoFilter ref="A4:K104"/>
  <tableColumns count="11">
    <tableColumn id="1" name="Event ID"/>
    <tableColumn id="2" name="Event"/>
    <tableColumn id="3" name="Type"/>
    <tableColumn id="4" name="Date"/>
    <tableColumn id="5" name="Public URL"/>
    <tableColumn id="6" name="Desired body-feel"/>
    <tableColumn id="7" name="Primary invitation"/>
    <tableColumn id="8" name="Owner"/>
    <tableColumn id="9" name="Capacity"/>
    <tableColumn id="10" name="Status"/>
    <tableColumn id="11" name="Depanty / learning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ouchpointCopy" displayName="TouchpointCopy" ref="A4:F12" headerRowCount="1">
  <autoFilter ref="A4:F12"/>
  <tableColumns count="6">
    <tableColumn id="1" name="Moment"/>
    <tableColumn id="2" name="Audience state"/>
    <tableColumn id="3" name="Purpose"/>
    <tableColumn id="4" name="Editable copy"/>
    <tableColumn id="5" name="Primary link"/>
    <tableColumn id="6" name="Owner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SurveySignals" displayName="SurveySignals" ref="A4:F33" headerRowCount="1">
  <autoFilter ref="A4:F33"/>
  <tableColumns count="6">
    <tableColumn id="1" name="Question"/>
    <tableColumn id="2" name="Rank"/>
    <tableColumn id="3" name="Response"/>
    <tableColumn id="4" name="Count"/>
    <tableColumn id="5" name="Share"/>
    <tableColumn id="6" name="Use in pathway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eamBoundaries" displayName="TeamBoundaries" ref="A4:E9" headerRowCount="1">
  <autoFilter ref="A4:E9"/>
  <tableColumns count="5">
    <tableColumn id="1" name="Person / role"/>
    <tableColumn id="2" name="Public pathway lane"/>
    <tableColumn id="3" name="Owns"/>
    <tableColumn id="4" name="Boundary"/>
    <tableColumn id="5" name="Best ask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ChangeLog" displayName="ChangeLog" ref="A4:E7" headerRowCount="1">
  <autoFilter ref="A4:E7"/>
  <tableColumns count="5">
    <tableColumn id="1" name="Date"/>
    <tableColumn id="2" name="Version"/>
    <tableColumn id="3" name="Changed by"/>
    <tableColumn id="4" name="What changed"/>
    <tableColumn id="5" name="Why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linktr.ee/brbcreatingwell" TargetMode="External" Id="rId1"/><Relationship Type="http://schemas.openxmlformats.org/officeDocument/2006/relationships/hyperlink" Target="https://aboutcreatewell.netlify.app/" TargetMode="External" Id="rId2"/><Relationship Type="http://schemas.openxmlformats.org/officeDocument/2006/relationships/hyperlink" Target="https://partiful.com/e/HaA3zjBBmMzbNQDgicNd" TargetMode="External" Id="rId3"/><Relationship Type="http://schemas.openxmlformats.org/officeDocument/2006/relationships/hyperlink" Target="https://cr8w.com/" TargetMode="External" Id="rId4"/><Relationship Type="http://schemas.openxmlformats.org/officeDocument/2006/relationships/hyperlink" Target="https://app.notion.com/p/CR8W-PODCAST-LAUNCH-EVENT-TEAM-OVERVIEW-3a58966645f48037b6fee1d2ccfed3ff?source=copy_link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4" customWidth="1" min="6" max="6"/>
  </cols>
  <sheetData>
    <row r="1" ht="36" customHeight="1">
      <c r="A1" s="1" t="inlineStr">
        <is>
          <t>CREATE WELL • COMMUNITY HOME</t>
        </is>
      </c>
    </row>
    <row r="2" ht="30" customHeight="1">
      <c r="A2" s="2" t="inlineStr">
        <is>
          <t>Internal Sheets dashboard inspired by the public brand experience. CR8W.COM IS TEAM ONLY. Public links use a separate domain placeholder.</t>
        </is>
      </c>
    </row>
    <row r="4" ht="25" customHeight="1">
      <c r="A4" s="3" t="inlineStr">
        <is>
          <t>A COMMUNITY OF CREATIVE BEINGS COMING HOME</t>
        </is>
      </c>
    </row>
    <row r="5">
      <c r="A5" s="4" t="inlineStr">
        <is>
          <t>We build invitations for artists and burnt-out creatives to create with joy, then make the next return obvious, gentle, and alive.</t>
        </is>
      </c>
    </row>
    <row r="6"/>
    <row r="8" ht="25" customHeight="1">
      <c r="A8" s="3" t="inlineStr">
        <is>
          <t>THIS WEEK AT THE WELL</t>
        </is>
      </c>
    </row>
    <row r="9" ht="28" customHeight="1">
      <c r="A9" s="5" t="inlineStr">
        <is>
          <t>Signal</t>
        </is>
      </c>
      <c r="B9" s="5" t="inlineStr">
        <is>
          <t>Current</t>
        </is>
      </c>
      <c r="C9" s="5" t="inlineStr">
        <is>
          <t>Goal</t>
        </is>
      </c>
      <c r="D9" s="5" t="inlineStr">
        <is>
          <t>Next move</t>
        </is>
      </c>
      <c r="E9" s="5" t="inlineStr">
        <is>
          <t>Owner</t>
        </is>
      </c>
      <c r="F9" s="5" t="inlineStr">
        <is>
          <t>Due</t>
        </is>
      </c>
    </row>
    <row r="10">
      <c r="A10" s="6" t="inlineStr">
        <is>
          <t>Attendees logged</t>
        </is>
      </c>
      <c r="B10" s="7">
        <f>COUNTA(ATTENDEES!A5:A204)</f>
        <v/>
      </c>
      <c r="C10" s="6" t="inlineStr">
        <is>
          <t>All attendees within 48h</t>
        </is>
      </c>
      <c r="D10" s="6" t="inlineStr">
        <is>
          <t>Add missing launch-night names</t>
        </is>
      </c>
      <c r="E10" s="6" t="inlineStr">
        <is>
          <t>Event lead</t>
        </is>
      </c>
      <c r="F10" s="6" t="inlineStr"/>
    </row>
    <row r="11">
      <c r="A11" s="8" t="inlineStr">
        <is>
          <t>Welcomed</t>
        </is>
      </c>
      <c r="B11" s="9">
        <f>COUNTIF(ATTENDEES!J5:J204,"Sent")</f>
        <v/>
      </c>
      <c r="C11" s="10">
        <f>B10</f>
        <v/>
      </c>
      <c r="D11" s="8" t="inlineStr">
        <is>
          <t>Send one useful follow-up, not a drip campaign</t>
        </is>
      </c>
      <c r="E11" s="8" t="inlineStr">
        <is>
          <t>Sunshine</t>
        </is>
      </c>
      <c r="F11" s="8" t="inlineStr"/>
    </row>
    <row r="12">
      <c r="A12" s="6" t="inlineStr">
        <is>
          <t>Came home</t>
        </is>
      </c>
      <c r="B12" s="7">
        <f>COUNTIF(ATTENDEES!L5:L204,"Yes")</f>
        <v/>
      </c>
      <c r="C12" s="11">
        <f>IFERROR(B11/B10,0)</f>
        <v/>
      </c>
      <c r="D12" s="6" t="inlineStr">
        <is>
          <t>Invite to public community pathway</t>
        </is>
      </c>
      <c r="E12" s="6" t="inlineStr">
        <is>
          <t>Sunshine</t>
        </is>
      </c>
      <c r="F12" s="6" t="inlineStr"/>
    </row>
    <row r="13">
      <c r="A13" s="8" t="inlineStr">
        <is>
          <t>Returned</t>
        </is>
      </c>
      <c r="B13" s="9">
        <f>COUNTIF(ATTENDEES!N5:N204,"Yes")</f>
        <v/>
      </c>
      <c r="C13" s="10">
        <f>IFERROR(B12/B11,0)</f>
        <v/>
      </c>
      <c r="D13" s="8" t="inlineStr">
        <is>
          <t>Offer the next right-sized gathering</t>
        </is>
      </c>
      <c r="E13" s="8" t="inlineStr">
        <is>
          <t>Bingle</t>
        </is>
      </c>
      <c r="F13" s="8" t="inlineStr"/>
    </row>
    <row r="14">
      <c r="A14" s="6" t="inlineStr">
        <is>
          <t>Deeper participation</t>
        </is>
      </c>
      <c r="B14" s="6">
        <f>COUNTIF(ATTENDEES!P5:P204,"Yes")</f>
        <v/>
      </c>
      <c r="C14" s="6">
        <f>IFERROR(B13/B12,0)</f>
        <v/>
      </c>
      <c r="D14" s="6" t="inlineStr">
        <is>
          <t>Personally invite aligned repeat attendees</t>
        </is>
      </c>
      <c r="E14" s="6" t="inlineStr">
        <is>
          <t>Monica + Sunshine</t>
        </is>
      </c>
      <c r="F14" s="6" t="inlineStr"/>
    </row>
    <row r="16" ht="25" customHeight="1">
      <c r="A16" s="3" t="inlineStr">
        <is>
          <t>THE PUBLIC PATHWAY</t>
        </is>
      </c>
    </row>
    <row r="17">
      <c r="A17" s="12" t="inlineStr">
        <is>
          <t>1 • ARRIVE</t>
        </is>
      </c>
      <c r="B17" s="12" t="inlineStr">
        <is>
          <t>2 • EXHALE</t>
        </is>
      </c>
      <c r="C17" s="12" t="inlineStr">
        <is>
          <t>3 • COME HOME</t>
        </is>
      </c>
      <c r="D17" s="12" t="inlineStr">
        <is>
          <t>4 • RETURN</t>
        </is>
      </c>
      <c r="E17" s="12" t="inlineStr">
        <is>
          <t>5 • DEEPEN</t>
        </is>
      </c>
    </row>
    <row r="18">
      <c r="A18" s="13" t="inlineStr">
        <is>
          <t>Event, podcast, referral</t>
        </is>
      </c>
      <c r="B18" s="13" t="inlineStr">
        <is>
          <t>Thank-you + promised resources</t>
        </is>
      </c>
      <c r="C18" s="13" t="inlineStr">
        <is>
          <t>Public community signup</t>
        </is>
      </c>
      <c r="D18" s="13" t="inlineStr">
        <is>
          <t>Low-stakes meetup, Open Studio, book club</t>
        </is>
      </c>
      <c r="E18" s="13" t="inlineStr">
        <is>
          <t>Workshop, collaborator, shadow host</t>
        </is>
      </c>
    </row>
    <row r="19">
      <c r="A19" s="14" t="inlineStr">
        <is>
          <t>Feel welcomed</t>
        </is>
      </c>
      <c r="B19" s="14" t="inlineStr">
        <is>
          <t>Feel remembered</t>
        </is>
      </c>
      <c r="C19" s="14" t="inlineStr">
        <is>
          <t>Choose connection</t>
        </is>
      </c>
      <c r="D19" s="14" t="inlineStr">
        <is>
          <t>Experience belonging</t>
        </is>
      </c>
      <c r="E19" s="14" t="inlineStr">
        <is>
          <t>Practice reciprocity</t>
        </is>
      </c>
    </row>
    <row r="21">
      <c r="A21" s="15" t="inlineStr">
        <is>
          <t>ONE CURRENT DECISION</t>
        </is>
      </c>
    </row>
    <row r="22">
      <c r="A22" s="16" t="inlineStr">
        <is>
          <t>YES: Use one post-event invitation to the separate public Create Well home. NOT NOW: memberships, points, automations, or exposing cr8w.com.</t>
        </is>
      </c>
    </row>
    <row r="23"/>
  </sheetData>
  <mergeCells count="8">
    <mergeCell ref="A2:F2"/>
    <mergeCell ref="A16:F16"/>
    <mergeCell ref="A1:F1"/>
    <mergeCell ref="A5:F6"/>
    <mergeCell ref="A8:F8"/>
    <mergeCell ref="A4:F4"/>
    <mergeCell ref="A22:F23"/>
    <mergeCell ref="A21:F2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8" customWidth="1" min="5" max="5"/>
    <col width="36" customWidth="1" min="6" max="6"/>
    <col width="20" customWidth="1" min="7" max="7"/>
    <col width="22" customWidth="1" min="8" max="8"/>
  </cols>
  <sheetData>
    <row r="1" ht="36" customHeight="1">
      <c r="A1" s="1" t="inlineStr">
        <is>
          <t>PUBLIC PATHWAY</t>
        </is>
      </c>
    </row>
    <row r="2" ht="30" customHeight="1">
      <c r="A2" s="2" t="inlineStr">
        <is>
          <t>This is a return path, not a pressure tunnel. One clear invitation at each stage. Public domain remains separate from cr8w.com.</t>
        </is>
      </c>
    </row>
    <row r="4" ht="28" customHeight="1">
      <c r="A4" s="5" t="inlineStr">
        <is>
          <t>Stage</t>
        </is>
      </c>
      <c r="B4" s="5" t="inlineStr">
        <is>
          <t>Person state</t>
        </is>
      </c>
      <c r="C4" s="5" t="inlineStr">
        <is>
          <t>Public experience</t>
        </is>
      </c>
      <c r="D4" s="5" t="inlineStr">
        <is>
          <t>Single invitation</t>
        </is>
      </c>
      <c r="E4" s="5" t="inlineStr">
        <is>
          <t>Value delivered first</t>
        </is>
      </c>
      <c r="F4" s="5" t="inlineStr">
        <is>
          <t>Success signal</t>
        </is>
      </c>
      <c r="G4" s="5" t="inlineStr">
        <is>
          <t>Owner</t>
        </is>
      </c>
      <c r="H4" s="5" t="inlineStr">
        <is>
          <t>Boundary</t>
        </is>
      </c>
    </row>
    <row r="5">
      <c r="A5" s="8" t="inlineStr">
        <is>
          <t>ARRIVE</t>
        </is>
      </c>
      <c r="B5" s="8" t="inlineStr">
        <is>
          <t>Curious / first contact</t>
        </is>
      </c>
      <c r="C5" s="8" t="inlineStr">
        <is>
          <t>Event, podcast, collaborator referral</t>
        </is>
      </c>
      <c r="D5" s="8" t="inlineStr">
        <is>
          <t>Join the room</t>
        </is>
      </c>
      <c r="E5" s="8" t="inlineStr">
        <is>
          <t>A warm, low-performance experience</t>
        </is>
      </c>
      <c r="F5" s="8" t="inlineStr">
        <is>
          <t>Attended or listened</t>
        </is>
      </c>
      <c r="G5" s="8" t="inlineStr">
        <is>
          <t>Event lead</t>
        </is>
      </c>
      <c r="H5" s="8" t="inlineStr">
        <is>
          <t>Do not demand signup before trust</t>
        </is>
      </c>
    </row>
    <row r="6">
      <c r="A6" s="6" t="inlineStr">
        <is>
          <t>EXHALE</t>
        </is>
      </c>
      <c r="B6" s="6" t="inlineStr">
        <is>
          <t>Just attended</t>
        </is>
      </c>
      <c r="C6" s="6" t="inlineStr">
        <is>
          <t>Thank-you within 24–48 hours</t>
        </is>
      </c>
      <c r="D6" s="6" t="inlineStr">
        <is>
          <t>Receive the promised resources</t>
        </is>
      </c>
      <c r="E6" s="6" t="inlineStr">
        <is>
          <t>Photos, links, reflection, gratitude</t>
        </is>
      </c>
      <c r="F6" s="6" t="inlineStr">
        <is>
          <t>Opened or replied</t>
        </is>
      </c>
      <c r="G6" s="6" t="inlineStr">
        <is>
          <t>Sunshine</t>
        </is>
      </c>
      <c r="H6" s="6" t="inlineStr">
        <is>
          <t>No multi-email nurture maze</t>
        </is>
      </c>
    </row>
    <row r="7">
      <c r="A7" s="8" t="inlineStr">
        <is>
          <t>COME HOME</t>
        </is>
      </c>
      <c r="B7" s="8" t="inlineStr">
        <is>
          <t>Wants more connection</t>
        </is>
      </c>
      <c r="C7" s="8" t="inlineStr">
        <is>
          <t>Separate public Create Well home</t>
        </is>
      </c>
      <c r="D7" s="8" t="inlineStr">
        <is>
          <t>Join updates / community</t>
        </is>
      </c>
      <c r="E7" s="8" t="inlineStr">
        <is>
          <t>Future dates and one useful creative prompt</t>
        </is>
      </c>
      <c r="F7" s="8" t="inlineStr">
        <is>
          <t>Opted in</t>
        </is>
      </c>
      <c r="G7" s="8" t="inlineStr">
        <is>
          <t>Sunshine</t>
        </is>
      </c>
      <c r="H7" s="8" t="inlineStr">
        <is>
          <t>Never link to cr8w.com</t>
        </is>
      </c>
    </row>
    <row r="8">
      <c r="A8" s="6" t="inlineStr">
        <is>
          <t>RETURN</t>
        </is>
      </c>
      <c r="B8" s="6" t="inlineStr">
        <is>
          <t>Recognizes the people and rhythm</t>
        </is>
      </c>
      <c r="C8" s="6" t="inlineStr">
        <is>
          <t>Open Studio, drop-in, book club, city drop</t>
        </is>
      </c>
      <c r="D8" s="6" t="inlineStr">
        <is>
          <t>Choose one next gathering</t>
        </is>
      </c>
      <c r="E8" s="6" t="inlineStr">
        <is>
          <t>Low-stakes shared practice</t>
        </is>
      </c>
      <c r="F8" s="6" t="inlineStr">
        <is>
          <t>Attended again</t>
        </is>
      </c>
      <c r="G8" s="6" t="inlineStr">
        <is>
          <t>Bingle</t>
        </is>
      </c>
      <c r="H8" s="6" t="inlineStr">
        <is>
          <t>A hang, not a curriculum</t>
        </is>
      </c>
    </row>
    <row r="9">
      <c r="A9" s="8" t="inlineStr">
        <is>
          <t>DEEPEN</t>
        </is>
      </c>
      <c r="B9" s="8" t="inlineStr">
        <is>
          <t>Repeat participant with reciprocal energy</t>
        </is>
      </c>
      <c r="C9" s="8" t="inlineStr">
        <is>
          <t>Workshop, collaboration, host bench</t>
        </is>
      </c>
      <c r="D9" s="8" t="inlineStr">
        <is>
          <t>Accept a personal invitation</t>
        </is>
      </c>
      <c r="E9" s="8" t="inlineStr">
        <is>
          <t>Meaningful role or deeper practice</t>
        </is>
      </c>
      <c r="F9" s="8" t="inlineStr">
        <is>
          <t>Joined / contributed</t>
        </is>
      </c>
      <c r="G9" s="8" t="inlineStr">
        <is>
          <t>Monica + Sunshine</t>
        </is>
      </c>
      <c r="H9" s="8" t="inlineStr">
        <is>
          <t>Invitation, never silent labor transfer</t>
        </is>
      </c>
    </row>
    <row r="12" ht="25" customHeight="1">
      <c r="A12" s="3" t="inlineStr">
        <is>
          <t>14-DAY EVENT RETURN RHYTHM</t>
        </is>
      </c>
    </row>
    <row r="13" ht="28" customHeight="1">
      <c r="A13" s="5" t="inlineStr">
        <is>
          <t>When</t>
        </is>
      </c>
      <c r="B13" s="5" t="inlineStr">
        <is>
          <t>Touchpoint</t>
        </is>
      </c>
      <c r="C13" s="5" t="inlineStr">
        <is>
          <t>Purpose</t>
        </is>
      </c>
      <c r="D13" s="5" t="inlineStr">
        <is>
          <t>CTA</t>
        </is>
      </c>
      <c r="E13" s="5" t="inlineStr">
        <is>
          <t>Channel</t>
        </is>
      </c>
      <c r="F13" s="5" t="inlineStr">
        <is>
          <t>Owner</t>
        </is>
      </c>
      <c r="G13" s="5" t="inlineStr">
        <is>
          <t>Asset</t>
        </is>
      </c>
      <c r="H13" s="5" t="inlineStr">
        <is>
          <t>Stop rule</t>
        </is>
      </c>
    </row>
    <row r="14">
      <c r="A14" s="6" t="inlineStr">
        <is>
          <t>At RSVP</t>
        </is>
      </c>
      <c r="B14" s="6" t="inlineStr">
        <is>
          <t>Confirmation</t>
        </is>
      </c>
      <c r="C14" s="6" t="inlineStr">
        <is>
          <t>Reduce uncertainty</t>
        </is>
      </c>
      <c r="D14" s="6" t="inlineStr">
        <is>
          <t>Add to calendar</t>
        </is>
      </c>
      <c r="E14" s="6" t="inlineStr">
        <is>
          <t>Event platform</t>
        </is>
      </c>
      <c r="F14" s="6" t="inlineStr">
        <is>
          <t>Event lead</t>
        </is>
      </c>
      <c r="G14" s="6" t="inlineStr">
        <is>
          <t>Arrival details</t>
        </is>
      </c>
      <c r="H14" s="6" t="inlineStr">
        <is>
          <t>No extra ask</t>
        </is>
      </c>
    </row>
    <row r="15">
      <c r="A15" s="8" t="inlineStr">
        <is>
          <t>At event</t>
        </is>
      </c>
      <c r="B15" s="8" t="inlineStr">
        <is>
          <t>Visible public QR</t>
        </is>
      </c>
      <c r="C15" s="8" t="inlineStr">
        <is>
          <t>Offer continuity without interrupting the room</t>
        </is>
      </c>
      <c r="D15" s="8" t="inlineStr">
        <is>
          <t>Come home</t>
        </is>
      </c>
      <c r="E15" s="8" t="inlineStr">
        <is>
          <t>Sign / QR</t>
        </is>
      </c>
      <c r="F15" s="8" t="inlineStr">
        <is>
          <t>Day-of support</t>
        </is>
      </c>
      <c r="G15" s="8" t="inlineStr">
        <is>
          <t>Public domain landing page</t>
        </is>
      </c>
      <c r="H15" s="8" t="inlineStr">
        <is>
          <t>Mention once</t>
        </is>
      </c>
    </row>
    <row r="16">
      <c r="A16" s="6" t="inlineStr">
        <is>
          <t>Within 24–48h</t>
        </is>
      </c>
      <c r="B16" s="6" t="inlineStr">
        <is>
          <t>Thank-you</t>
        </is>
      </c>
      <c r="C16" s="6" t="inlineStr">
        <is>
          <t>Deliver what was promised</t>
        </is>
      </c>
      <c r="D16" s="6" t="inlineStr">
        <is>
          <t>Follow the podcast OR come home</t>
        </is>
      </c>
      <c r="E16" s="6" t="inlineStr">
        <is>
          <t>Email</t>
        </is>
      </c>
      <c r="F16" s="6" t="inlineStr">
        <is>
          <t>Sunshine</t>
        </is>
      </c>
      <c r="G16" s="6" t="inlineStr">
        <is>
          <t>Follow-up template</t>
        </is>
      </c>
      <c r="H16" s="6" t="inlineStr">
        <is>
          <t>One primary CTA</t>
        </is>
      </c>
    </row>
    <row r="17">
      <c r="A17" s="8" t="inlineStr">
        <is>
          <t>Day 5–7</t>
        </is>
      </c>
      <c r="B17" s="8" t="inlineStr">
        <is>
          <t>Human check-in</t>
        </is>
      </c>
      <c r="C17" s="8" t="inlineStr">
        <is>
          <t>Respond to actual connection</t>
        </is>
      </c>
      <c r="D17" s="8" t="inlineStr">
        <is>
          <t>Reply / share what stayed with you</t>
        </is>
      </c>
      <c r="E17" s="8" t="inlineStr">
        <is>
          <t>Personal text or DM</t>
        </is>
      </c>
      <c r="F17" s="8" t="inlineStr">
        <is>
          <t>Natural relationship holder</t>
        </is>
      </c>
      <c r="G17" s="8" t="inlineStr">
        <is>
          <t>Short note</t>
        </is>
      </c>
      <c r="H17" s="8" t="inlineStr">
        <is>
          <t>Only for warm relationships</t>
        </is>
      </c>
    </row>
    <row r="18">
      <c r="A18" s="6" t="inlineStr">
        <is>
          <t>Day 10–14</t>
        </is>
      </c>
      <c r="B18" s="6" t="inlineStr">
        <is>
          <t>Next invitation</t>
        </is>
      </c>
      <c r="C18" s="6" t="inlineStr">
        <is>
          <t>Make returning easy</t>
        </is>
      </c>
      <c r="D18" s="6" t="inlineStr">
        <is>
          <t>RSVP to one low-stakes gathering</t>
        </is>
      </c>
      <c r="E18" s="6" t="inlineStr">
        <is>
          <t>Email / public update</t>
        </is>
      </c>
      <c r="F18" s="6" t="inlineStr">
        <is>
          <t>Sunshine + Bingle</t>
        </is>
      </c>
      <c r="G18" s="6" t="inlineStr">
        <is>
          <t>Next event page</t>
        </is>
      </c>
      <c r="H18" s="6" t="inlineStr">
        <is>
          <t>No event = no email</t>
        </is>
      </c>
    </row>
    <row r="19">
      <c r="A19" s="8" t="inlineStr">
        <is>
          <t>After 2nd event</t>
        </is>
      </c>
      <c r="B19" s="8" t="inlineStr">
        <is>
          <t>Personal invitation</t>
        </is>
      </c>
      <c r="C19" s="8" t="inlineStr">
        <is>
          <t>Recognize reciprocal energy</t>
        </is>
      </c>
      <c r="D19" s="8" t="inlineStr">
        <is>
          <t>Workshop / collaboration / shadow host</t>
        </is>
      </c>
      <c r="E19" s="8" t="inlineStr">
        <is>
          <t>Personal message</t>
        </is>
      </c>
      <c r="F19" s="8" t="inlineStr">
        <is>
          <t>Monica + Sunshine</t>
        </is>
      </c>
      <c r="G19" s="8" t="inlineStr">
        <is>
          <t>Specific ask</t>
        </is>
      </c>
      <c r="H19" s="8" t="inlineStr">
        <is>
          <t>No vague “help us” request</t>
        </is>
      </c>
    </row>
  </sheetData>
  <autoFilter ref="A13:H13"/>
  <mergeCells count="3">
    <mergeCell ref="A12:H12"/>
    <mergeCell ref="A2:H2"/>
    <mergeCell ref="A1:H1"/>
  </mergeCell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2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24" customWidth="1" min="4" max="4"/>
    <col width="20" customWidth="1" min="5" max="5"/>
    <col width="22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4" customWidth="1" min="15" max="15"/>
    <col width="18" customWidth="1" min="16" max="16"/>
    <col width="34" customWidth="1" min="17" max="17"/>
  </cols>
  <sheetData>
    <row r="1" ht="36" customHeight="1">
      <c r="A1" s="1" t="inlineStr">
        <is>
          <t>ATTENDEE RELATIONSHIPS</t>
        </is>
      </c>
    </row>
    <row r="2" ht="30" customHeight="1">
      <c r="A2" s="2" t="inlineStr">
        <is>
          <t>Only track what helps the team care well. Consent, context, and the next useful invitation. Delete stale data.</t>
        </is>
      </c>
    </row>
    <row r="4" ht="28" customHeight="1">
      <c r="A4" s="5" t="inlineStr">
        <is>
          <t>Attendee ID</t>
        </is>
      </c>
      <c r="B4" s="5" t="inlineStr">
        <is>
          <t>Name</t>
        </is>
      </c>
      <c r="C4" s="5" t="inlineStr">
        <is>
          <t>Email / handle</t>
        </is>
      </c>
      <c r="D4" s="5" t="inlineStr">
        <is>
          <t>Event</t>
        </is>
      </c>
      <c r="E4" s="5" t="inlineStr">
        <is>
          <t>Event date</t>
        </is>
      </c>
      <c r="F4" s="5" t="inlineStr">
        <is>
          <t>How they arrived</t>
        </is>
      </c>
      <c r="G4" s="5" t="inlineStr">
        <is>
          <t>Interest signal</t>
        </is>
      </c>
      <c r="H4" s="5" t="inlineStr">
        <is>
          <t>What refills them</t>
        </is>
      </c>
      <c r="I4" s="5" t="inlineStr">
        <is>
          <t>Permission</t>
        </is>
      </c>
      <c r="J4" s="5" t="inlineStr">
        <is>
          <t>Thank-you</t>
        </is>
      </c>
      <c r="K4" s="5" t="inlineStr">
        <is>
          <t>Public invite</t>
        </is>
      </c>
      <c r="L4" s="5" t="inlineStr">
        <is>
          <t>Came home</t>
        </is>
      </c>
      <c r="M4" s="5" t="inlineStr">
        <is>
          <t>Next invitation</t>
        </is>
      </c>
      <c r="N4" s="5" t="inlineStr">
        <is>
          <t>Returned</t>
        </is>
      </c>
      <c r="O4" s="5" t="inlineStr">
        <is>
          <t>Deeper pathway</t>
        </is>
      </c>
      <c r="P4" s="5" t="inlineStr">
        <is>
          <t>Deepened</t>
        </is>
      </c>
      <c r="Q4" s="5" t="inlineStr">
        <is>
          <t>Notes / relationship context</t>
        </is>
      </c>
    </row>
    <row r="5">
      <c r="A5" s="17">
        <f>IF(B5="","","CW-"&amp;TEXT(ROW()-4,"000"))</f>
        <v/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</row>
    <row r="6">
      <c r="A6" s="18">
        <f>IF(B6="","","CW-"&amp;TEXT(ROW()-4,"000"))</f>
        <v/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</row>
    <row r="7">
      <c r="A7" s="17">
        <f>IF(B7="","","CW-"&amp;TEXT(ROW()-4,"000"))</f>
        <v/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>
      <c r="A8" s="18">
        <f>IF(B8="","","CW-"&amp;TEXT(ROW()-4,"000"))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</row>
    <row r="9">
      <c r="A9" s="17">
        <f>IF(B9="","","CW-"&amp;TEXT(ROW()-4,"000"))</f>
        <v/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</row>
    <row r="10">
      <c r="A10" s="18">
        <f>IF(B10="","","CW-"&amp;TEXT(ROW()-4,"000"))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</row>
    <row r="11">
      <c r="A11" s="17">
        <f>IF(B11="","","CW-"&amp;TEXT(ROW()-4,"000"))</f>
        <v/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</row>
    <row r="12">
      <c r="A12" s="18">
        <f>IF(B12="","","CW-"&amp;TEXT(ROW()-4,"000"))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</row>
    <row r="13">
      <c r="A13" s="17">
        <f>IF(B13="","","CW-"&amp;TEXT(ROW()-4,"000"))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</row>
    <row r="14">
      <c r="A14" s="18">
        <f>IF(B14="","","CW-"&amp;TEXT(ROW()-4,"000"))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</row>
    <row r="15">
      <c r="A15" s="17">
        <f>IF(B15="","","CW-"&amp;TEXT(ROW()-4,"000"))</f>
        <v/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</row>
    <row r="16">
      <c r="A16" s="18">
        <f>IF(B16="","","CW-"&amp;TEXT(ROW()-4,"000"))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</row>
    <row r="17">
      <c r="A17" s="17">
        <f>IF(B17="","","CW-"&amp;TEXT(ROW()-4,"000"))</f>
        <v/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8">
        <f>IF(B18="","","CW-"&amp;TEXT(ROW()-4,"000"))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</row>
    <row r="19">
      <c r="A19" s="17">
        <f>IF(B19="","","CW-"&amp;TEXT(ROW()-4,"000"))</f>
        <v/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8">
        <f>IF(B20="","","CW-"&amp;TEXT(ROW()-4,"000"))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</row>
    <row r="21">
      <c r="A21" s="17">
        <f>IF(B21="","","CW-"&amp;TEXT(ROW()-4,"000"))</f>
        <v/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8">
        <f>IF(B22="","","CW-"&amp;TEXT(ROW()-4,"000"))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</row>
    <row r="23">
      <c r="A23" s="17">
        <f>IF(B23="","","CW-"&amp;TEXT(ROW()-4,"000"))</f>
        <v/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8">
        <f>IF(B24="","","CW-"&amp;TEXT(ROW()-4,"000"))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</row>
    <row r="25">
      <c r="A25" s="17">
        <f>IF(B25="","","CW-"&amp;TEXT(ROW()-4,"000"))</f>
        <v/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8">
        <f>IF(B26="","","CW-"&amp;TEXT(ROW()-4,"000"))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</row>
    <row r="27">
      <c r="A27" s="17">
        <f>IF(B27="","","CW-"&amp;TEXT(ROW()-4,"000"))</f>
        <v/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8">
        <f>IF(B28="","","CW-"&amp;TEXT(ROW()-4,"000"))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</row>
    <row r="29">
      <c r="A29" s="17">
        <f>IF(B29="","","CW-"&amp;TEXT(ROW()-4,"000"))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8">
        <f>IF(B30="","","CW-"&amp;TEXT(ROW()-4,"000"))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</row>
    <row r="31">
      <c r="A31" s="17">
        <f>IF(B31="","","CW-"&amp;TEXT(ROW()-4,"000"))</f>
        <v/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8">
        <f>IF(B32="","","CW-"&amp;TEXT(ROW()-4,"000"))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</row>
    <row r="33">
      <c r="A33" s="17">
        <f>IF(B33="","","CW-"&amp;TEXT(ROW()-4,"000"))</f>
        <v/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8">
        <f>IF(B34="","","CW-"&amp;TEXT(ROW()-4,"000"))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</row>
    <row r="35">
      <c r="A35" s="17">
        <f>IF(B35="","","CW-"&amp;TEXT(ROW()-4,"000"))</f>
        <v/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8">
        <f>IF(B36="","","CW-"&amp;TEXT(ROW()-4,"000"))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</row>
    <row r="37">
      <c r="A37" s="17">
        <f>IF(B37="","","CW-"&amp;TEXT(ROW()-4,"000"))</f>
        <v/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8">
        <f>IF(B38="","","CW-"&amp;TEXT(ROW()-4,"000"))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</row>
    <row r="39">
      <c r="A39" s="17">
        <f>IF(B39="","","CW-"&amp;TEXT(ROW()-4,"000"))</f>
        <v/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8">
        <f>IF(B40="","","CW-"&amp;TEXT(ROW()-4,"000"))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</row>
    <row r="41">
      <c r="A41" s="17">
        <f>IF(B41="","","CW-"&amp;TEXT(ROW()-4,"000"))</f>
        <v/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8">
        <f>IF(B42="","","CW-"&amp;TEXT(ROW()-4,"000"))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</row>
    <row r="43">
      <c r="A43" s="17">
        <f>IF(B43="","","CW-"&amp;TEXT(ROW()-4,"000"))</f>
        <v/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8">
        <f>IF(B44="","","CW-"&amp;TEXT(ROW()-4,"000"))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</row>
    <row r="45">
      <c r="A45" s="17">
        <f>IF(B45="","","CW-"&amp;TEXT(ROW()-4,"000"))</f>
        <v/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8">
        <f>IF(B46="","","CW-"&amp;TEXT(ROW()-4,"000"))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</row>
    <row r="47">
      <c r="A47" s="17">
        <f>IF(B47="","","CW-"&amp;TEXT(ROW()-4,"000"))</f>
        <v/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8">
        <f>IF(B48="","","CW-"&amp;TEXT(ROW()-4,"000"))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</row>
    <row r="49">
      <c r="A49" s="17">
        <f>IF(B49="","","CW-"&amp;TEXT(ROW()-4,"000"))</f>
        <v/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8">
        <f>IF(B50="","","CW-"&amp;TEXT(ROW()-4,"000"))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</row>
    <row r="51">
      <c r="A51" s="17">
        <f>IF(B51="","","CW-"&amp;TEXT(ROW()-4,"000"))</f>
        <v/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8">
        <f>IF(B52="","","CW-"&amp;TEXT(ROW()-4,"000"))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</row>
    <row r="53">
      <c r="A53" s="17">
        <f>IF(B53="","","CW-"&amp;TEXT(ROW()-4,"000"))</f>
        <v/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8">
        <f>IF(B54="","","CW-"&amp;TEXT(ROW()-4,"000"))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</row>
    <row r="55">
      <c r="A55" s="17">
        <f>IF(B55="","","CW-"&amp;TEXT(ROW()-4,"000"))</f>
        <v/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</row>
    <row r="56">
      <c r="A56" s="18">
        <f>IF(B56="","","CW-"&amp;TEXT(ROW()-4,"000"))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</row>
    <row r="57">
      <c r="A57" s="17">
        <f>IF(B57="","","CW-"&amp;TEXT(ROW()-4,"000"))</f>
        <v/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</row>
    <row r="58">
      <c r="A58" s="18">
        <f>IF(B58="","","CW-"&amp;TEXT(ROW()-4,"000"))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</row>
    <row r="59">
      <c r="A59" s="17">
        <f>IF(B59="","","CW-"&amp;TEXT(ROW()-4,"000"))</f>
        <v/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</row>
    <row r="60">
      <c r="A60" s="18">
        <f>IF(B60="","","CW-"&amp;TEXT(ROW()-4,"000"))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</row>
    <row r="61">
      <c r="A61" s="17">
        <f>IF(B61="","","CW-"&amp;TEXT(ROW()-4,"000"))</f>
        <v/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</row>
    <row r="62">
      <c r="A62" s="18">
        <f>IF(B62="","","CW-"&amp;TEXT(ROW()-4,"000"))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</row>
    <row r="63">
      <c r="A63" s="17">
        <f>IF(B63="","","CW-"&amp;TEXT(ROW()-4,"000"))</f>
        <v/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</row>
    <row r="64">
      <c r="A64" s="18">
        <f>IF(B64="","","CW-"&amp;TEXT(ROW()-4,"000"))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</row>
    <row r="65">
      <c r="A65" s="17">
        <f>IF(B65="","","CW-"&amp;TEXT(ROW()-4,"000"))</f>
        <v/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</row>
    <row r="66">
      <c r="A66" s="18">
        <f>IF(B66="","","CW-"&amp;TEXT(ROW()-4,"000"))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</row>
    <row r="67">
      <c r="A67" s="17">
        <f>IF(B67="","","CW-"&amp;TEXT(ROW()-4,"000"))</f>
        <v/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</row>
    <row r="68">
      <c r="A68" s="18">
        <f>IF(B68="","","CW-"&amp;TEXT(ROW()-4,"000"))</f>
        <v/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</row>
    <row r="69">
      <c r="A69" s="17">
        <f>IF(B69="","","CW-"&amp;TEXT(ROW()-4,"000"))</f>
        <v/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</row>
    <row r="70">
      <c r="A70" s="18">
        <f>IF(B70="","","CW-"&amp;TEXT(ROW()-4,"000"))</f>
        <v/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</row>
    <row r="71">
      <c r="A71" s="17">
        <f>IF(B71="","","CW-"&amp;TEXT(ROW()-4,"000"))</f>
        <v/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</row>
    <row r="72">
      <c r="A72" s="18">
        <f>IF(B72="","","CW-"&amp;TEXT(ROW()-4,"000"))</f>
        <v/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</row>
    <row r="73">
      <c r="A73" s="17">
        <f>IF(B73="","","CW-"&amp;TEXT(ROW()-4,"000"))</f>
        <v/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</row>
    <row r="74">
      <c r="A74" s="18">
        <f>IF(B74="","","CW-"&amp;TEXT(ROW()-4,"000"))</f>
        <v/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</row>
    <row r="75">
      <c r="A75" s="17">
        <f>IF(B75="","","CW-"&amp;TEXT(ROW()-4,"000"))</f>
        <v/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</row>
    <row r="76">
      <c r="A76" s="18">
        <f>IF(B76="","","CW-"&amp;TEXT(ROW()-4,"000"))</f>
        <v/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</row>
    <row r="77">
      <c r="A77" s="17">
        <f>IF(B77="","","CW-"&amp;TEXT(ROW()-4,"000"))</f>
        <v/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</row>
    <row r="78">
      <c r="A78" s="18">
        <f>IF(B78="","","CW-"&amp;TEXT(ROW()-4,"000"))</f>
        <v/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</row>
    <row r="79">
      <c r="A79" s="17">
        <f>IF(B79="","","CW-"&amp;TEXT(ROW()-4,"000"))</f>
        <v/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</row>
    <row r="80">
      <c r="A80" s="18">
        <f>IF(B80="","","CW-"&amp;TEXT(ROW()-4,"000"))</f>
        <v/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</row>
    <row r="81">
      <c r="A81" s="17">
        <f>IF(B81="","","CW-"&amp;TEXT(ROW()-4,"000"))</f>
        <v/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</row>
    <row r="82">
      <c r="A82" s="18">
        <f>IF(B82="","","CW-"&amp;TEXT(ROW()-4,"000"))</f>
        <v/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</row>
    <row r="83">
      <c r="A83" s="17">
        <f>IF(B83="","","CW-"&amp;TEXT(ROW()-4,"000"))</f>
        <v/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</row>
    <row r="84">
      <c r="A84" s="18">
        <f>IF(B84="","","CW-"&amp;TEXT(ROW()-4,"000"))</f>
        <v/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</row>
    <row r="85">
      <c r="A85" s="17">
        <f>IF(B85="","","CW-"&amp;TEXT(ROW()-4,"000"))</f>
        <v/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</row>
    <row r="86">
      <c r="A86" s="18">
        <f>IF(B86="","","CW-"&amp;TEXT(ROW()-4,"000"))</f>
        <v/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</row>
    <row r="87">
      <c r="A87" s="17">
        <f>IF(B87="","","CW-"&amp;TEXT(ROW()-4,"000"))</f>
        <v/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</row>
    <row r="88">
      <c r="A88" s="18">
        <f>IF(B88="","","CW-"&amp;TEXT(ROW()-4,"000"))</f>
        <v/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</row>
    <row r="89">
      <c r="A89" s="17">
        <f>IF(B89="","","CW-"&amp;TEXT(ROW()-4,"000"))</f>
        <v/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</row>
    <row r="90">
      <c r="A90" s="18">
        <f>IF(B90="","","CW-"&amp;TEXT(ROW()-4,"000"))</f>
        <v/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</row>
    <row r="91">
      <c r="A91" s="17">
        <f>IF(B91="","","CW-"&amp;TEXT(ROW()-4,"000"))</f>
        <v/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</row>
    <row r="92">
      <c r="A92" s="18">
        <f>IF(B92="","","CW-"&amp;TEXT(ROW()-4,"000"))</f>
        <v/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</row>
    <row r="93">
      <c r="A93" s="17">
        <f>IF(B93="","","CW-"&amp;TEXT(ROW()-4,"000"))</f>
        <v/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</row>
    <row r="94">
      <c r="A94" s="18">
        <f>IF(B94="","","CW-"&amp;TEXT(ROW()-4,"000"))</f>
        <v/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</row>
    <row r="95">
      <c r="A95" s="17">
        <f>IF(B95="","","CW-"&amp;TEXT(ROW()-4,"000"))</f>
        <v/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</row>
    <row r="96">
      <c r="A96" s="18">
        <f>IF(B96="","","CW-"&amp;TEXT(ROW()-4,"000"))</f>
        <v/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</row>
    <row r="97">
      <c r="A97" s="17">
        <f>IF(B97="","","CW-"&amp;TEXT(ROW()-4,"000"))</f>
        <v/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</row>
    <row r="98">
      <c r="A98" s="18">
        <f>IF(B98="","","CW-"&amp;TEXT(ROW()-4,"000"))</f>
        <v/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</row>
    <row r="99">
      <c r="A99" s="17">
        <f>IF(B99="","","CW-"&amp;TEXT(ROW()-4,"000"))</f>
        <v/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</row>
    <row r="100">
      <c r="A100" s="18">
        <f>IF(B100="","","CW-"&amp;TEXT(ROW()-4,"000"))</f>
        <v/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</row>
    <row r="101">
      <c r="A101" s="17">
        <f>IF(B101="","","CW-"&amp;TEXT(ROW()-4,"000"))</f>
        <v/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</row>
    <row r="102">
      <c r="A102" s="18">
        <f>IF(B102="","","CW-"&amp;TEXT(ROW()-4,"000"))</f>
        <v/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</row>
    <row r="103">
      <c r="A103" s="17">
        <f>IF(B103="","","CW-"&amp;TEXT(ROW()-4,"000"))</f>
        <v/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</row>
    <row r="104">
      <c r="A104" s="18">
        <f>IF(B104="","","CW-"&amp;TEXT(ROW()-4,"000"))</f>
        <v/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</row>
    <row r="105">
      <c r="A105" s="17">
        <f>IF(B105="","","CW-"&amp;TEXT(ROW()-4,"000"))</f>
        <v/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</row>
    <row r="106">
      <c r="A106" s="18">
        <f>IF(B106="","","CW-"&amp;TEXT(ROW()-4,"000"))</f>
        <v/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</row>
    <row r="107">
      <c r="A107" s="17">
        <f>IF(B107="","","CW-"&amp;TEXT(ROW()-4,"000"))</f>
        <v/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</row>
    <row r="108">
      <c r="A108" s="18">
        <f>IF(B108="","","CW-"&amp;TEXT(ROW()-4,"000"))</f>
        <v/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</row>
    <row r="109">
      <c r="A109" s="17">
        <f>IF(B109="","","CW-"&amp;TEXT(ROW()-4,"000"))</f>
        <v/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</row>
    <row r="110">
      <c r="A110" s="18">
        <f>IF(B110="","","CW-"&amp;TEXT(ROW()-4,"000"))</f>
        <v/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</row>
    <row r="111">
      <c r="A111" s="17">
        <f>IF(B111="","","CW-"&amp;TEXT(ROW()-4,"000"))</f>
        <v/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</row>
    <row r="112">
      <c r="A112" s="18">
        <f>IF(B112="","","CW-"&amp;TEXT(ROW()-4,"000"))</f>
        <v/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</row>
    <row r="113">
      <c r="A113" s="17">
        <f>IF(B113="","","CW-"&amp;TEXT(ROW()-4,"000"))</f>
        <v/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</row>
    <row r="114">
      <c r="A114" s="18">
        <f>IF(B114="","","CW-"&amp;TEXT(ROW()-4,"000"))</f>
        <v/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</row>
    <row r="115">
      <c r="A115" s="17">
        <f>IF(B115="","","CW-"&amp;TEXT(ROW()-4,"000"))</f>
        <v/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</row>
    <row r="116">
      <c r="A116" s="18">
        <f>IF(B116="","","CW-"&amp;TEXT(ROW()-4,"000"))</f>
        <v/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</row>
    <row r="117">
      <c r="A117" s="17">
        <f>IF(B117="","","CW-"&amp;TEXT(ROW()-4,"000"))</f>
        <v/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</row>
    <row r="118">
      <c r="A118" s="18">
        <f>IF(B118="","","CW-"&amp;TEXT(ROW()-4,"000"))</f>
        <v/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</row>
    <row r="119">
      <c r="A119" s="17">
        <f>IF(B119="","","CW-"&amp;TEXT(ROW()-4,"000"))</f>
        <v/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</row>
    <row r="120">
      <c r="A120" s="18">
        <f>IF(B120="","","CW-"&amp;TEXT(ROW()-4,"000"))</f>
        <v/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</row>
    <row r="121">
      <c r="A121" s="17">
        <f>IF(B121="","","CW-"&amp;TEXT(ROW()-4,"000"))</f>
        <v/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</row>
    <row r="122">
      <c r="A122" s="18">
        <f>IF(B122="","","CW-"&amp;TEXT(ROW()-4,"000"))</f>
        <v/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</row>
    <row r="123">
      <c r="A123" s="17">
        <f>IF(B123="","","CW-"&amp;TEXT(ROW()-4,"000"))</f>
        <v/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</row>
    <row r="124">
      <c r="A124" s="18">
        <f>IF(B124="","","CW-"&amp;TEXT(ROW()-4,"000"))</f>
        <v/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</row>
    <row r="125">
      <c r="A125" s="17">
        <f>IF(B125="","","CW-"&amp;TEXT(ROW()-4,"000"))</f>
        <v/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</row>
    <row r="126">
      <c r="A126" s="18">
        <f>IF(B126="","","CW-"&amp;TEXT(ROW()-4,"000"))</f>
        <v/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</row>
    <row r="127">
      <c r="A127" s="17">
        <f>IF(B127="","","CW-"&amp;TEXT(ROW()-4,"000"))</f>
        <v/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</row>
    <row r="128">
      <c r="A128" s="18">
        <f>IF(B128="","","CW-"&amp;TEXT(ROW()-4,"000"))</f>
        <v/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</row>
    <row r="129">
      <c r="A129" s="17">
        <f>IF(B129="","","CW-"&amp;TEXT(ROW()-4,"000"))</f>
        <v/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</row>
    <row r="130">
      <c r="A130" s="18">
        <f>IF(B130="","","CW-"&amp;TEXT(ROW()-4,"000"))</f>
        <v/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</row>
    <row r="131">
      <c r="A131" s="17">
        <f>IF(B131="","","CW-"&amp;TEXT(ROW()-4,"000"))</f>
        <v/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</row>
    <row r="132">
      <c r="A132" s="18">
        <f>IF(B132="","","CW-"&amp;TEXT(ROW()-4,"000"))</f>
        <v/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</row>
    <row r="133">
      <c r="A133" s="17">
        <f>IF(B133="","","CW-"&amp;TEXT(ROW()-4,"000"))</f>
        <v/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</row>
    <row r="134">
      <c r="A134" s="18">
        <f>IF(B134="","","CW-"&amp;TEXT(ROW()-4,"000"))</f>
        <v/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</row>
    <row r="135">
      <c r="A135" s="17">
        <f>IF(B135="","","CW-"&amp;TEXT(ROW()-4,"000"))</f>
        <v/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</row>
    <row r="136">
      <c r="A136" s="18">
        <f>IF(B136="","","CW-"&amp;TEXT(ROW()-4,"000"))</f>
        <v/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</row>
    <row r="137">
      <c r="A137" s="17">
        <f>IF(B137="","","CW-"&amp;TEXT(ROW()-4,"000"))</f>
        <v/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</row>
    <row r="138">
      <c r="A138" s="18">
        <f>IF(B138="","","CW-"&amp;TEXT(ROW()-4,"000"))</f>
        <v/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</row>
    <row r="139">
      <c r="A139" s="17">
        <f>IF(B139="","","CW-"&amp;TEXT(ROW()-4,"000"))</f>
        <v/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</row>
    <row r="140">
      <c r="A140" s="18">
        <f>IF(B140="","","CW-"&amp;TEXT(ROW()-4,"000"))</f>
        <v/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</row>
    <row r="141">
      <c r="A141" s="17">
        <f>IF(B141="","","CW-"&amp;TEXT(ROW()-4,"000"))</f>
        <v/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</row>
    <row r="142">
      <c r="A142" s="18">
        <f>IF(B142="","","CW-"&amp;TEXT(ROW()-4,"000"))</f>
        <v/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</row>
    <row r="143">
      <c r="A143" s="17">
        <f>IF(B143="","","CW-"&amp;TEXT(ROW()-4,"000"))</f>
        <v/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</row>
    <row r="144">
      <c r="A144" s="18">
        <f>IF(B144="","","CW-"&amp;TEXT(ROW()-4,"000"))</f>
        <v/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</row>
    <row r="145">
      <c r="A145" s="17">
        <f>IF(B145="","","CW-"&amp;TEXT(ROW()-4,"000"))</f>
        <v/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</row>
    <row r="146">
      <c r="A146" s="18">
        <f>IF(B146="","","CW-"&amp;TEXT(ROW()-4,"000"))</f>
        <v/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</row>
    <row r="147">
      <c r="A147" s="17">
        <f>IF(B147="","","CW-"&amp;TEXT(ROW()-4,"000"))</f>
        <v/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</row>
    <row r="148">
      <c r="A148" s="18">
        <f>IF(B148="","","CW-"&amp;TEXT(ROW()-4,"000"))</f>
        <v/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</row>
    <row r="149">
      <c r="A149" s="17">
        <f>IF(B149="","","CW-"&amp;TEXT(ROW()-4,"000"))</f>
        <v/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</row>
    <row r="150">
      <c r="A150" s="18">
        <f>IF(B150="","","CW-"&amp;TEXT(ROW()-4,"000"))</f>
        <v/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</row>
    <row r="151">
      <c r="A151" s="17">
        <f>IF(B151="","","CW-"&amp;TEXT(ROW()-4,"000"))</f>
        <v/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</row>
    <row r="152">
      <c r="A152" s="18">
        <f>IF(B152="","","CW-"&amp;TEXT(ROW()-4,"000"))</f>
        <v/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</row>
    <row r="153">
      <c r="A153" s="17">
        <f>IF(B153="","","CW-"&amp;TEXT(ROW()-4,"000"))</f>
        <v/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</row>
    <row r="154">
      <c r="A154" s="18">
        <f>IF(B154="","","CW-"&amp;TEXT(ROW()-4,"000"))</f>
        <v/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</row>
    <row r="155">
      <c r="A155" s="17">
        <f>IF(B155="","","CW-"&amp;TEXT(ROW()-4,"000"))</f>
        <v/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</row>
    <row r="156">
      <c r="A156" s="18">
        <f>IF(B156="","","CW-"&amp;TEXT(ROW()-4,"000"))</f>
        <v/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</row>
    <row r="157">
      <c r="A157" s="17">
        <f>IF(B157="","","CW-"&amp;TEXT(ROW()-4,"000"))</f>
        <v/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</row>
    <row r="158">
      <c r="A158" s="18">
        <f>IF(B158="","","CW-"&amp;TEXT(ROW()-4,"000"))</f>
        <v/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</row>
    <row r="159">
      <c r="A159" s="17">
        <f>IF(B159="","","CW-"&amp;TEXT(ROW()-4,"000"))</f>
        <v/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</row>
    <row r="160">
      <c r="A160" s="18">
        <f>IF(B160="","","CW-"&amp;TEXT(ROW()-4,"000"))</f>
        <v/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</row>
    <row r="161">
      <c r="A161" s="17">
        <f>IF(B161="","","CW-"&amp;TEXT(ROW()-4,"000"))</f>
        <v/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</row>
    <row r="162">
      <c r="A162" s="18">
        <f>IF(B162="","","CW-"&amp;TEXT(ROW()-4,"000"))</f>
        <v/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</row>
    <row r="163">
      <c r="A163" s="17">
        <f>IF(B163="","","CW-"&amp;TEXT(ROW()-4,"000"))</f>
        <v/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</row>
    <row r="164">
      <c r="A164" s="18">
        <f>IF(B164="","","CW-"&amp;TEXT(ROW()-4,"000"))</f>
        <v/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</row>
    <row r="165">
      <c r="A165" s="17">
        <f>IF(B165="","","CW-"&amp;TEXT(ROW()-4,"000"))</f>
        <v/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</row>
    <row r="166">
      <c r="A166" s="18">
        <f>IF(B166="","","CW-"&amp;TEXT(ROW()-4,"000"))</f>
        <v/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</row>
    <row r="167">
      <c r="A167" s="17">
        <f>IF(B167="","","CW-"&amp;TEXT(ROW()-4,"000"))</f>
        <v/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</row>
    <row r="168">
      <c r="A168" s="18">
        <f>IF(B168="","","CW-"&amp;TEXT(ROW()-4,"000"))</f>
        <v/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</row>
    <row r="169">
      <c r="A169" s="17">
        <f>IF(B169="","","CW-"&amp;TEXT(ROW()-4,"000"))</f>
        <v/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</row>
    <row r="170">
      <c r="A170" s="18">
        <f>IF(B170="","","CW-"&amp;TEXT(ROW()-4,"000"))</f>
        <v/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</row>
    <row r="171">
      <c r="A171" s="17">
        <f>IF(B171="","","CW-"&amp;TEXT(ROW()-4,"000"))</f>
        <v/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</row>
    <row r="172">
      <c r="A172" s="18">
        <f>IF(B172="","","CW-"&amp;TEXT(ROW()-4,"000"))</f>
        <v/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</row>
    <row r="173">
      <c r="A173" s="17">
        <f>IF(B173="","","CW-"&amp;TEXT(ROW()-4,"000"))</f>
        <v/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</row>
    <row r="174">
      <c r="A174" s="18">
        <f>IF(B174="","","CW-"&amp;TEXT(ROW()-4,"000"))</f>
        <v/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</row>
    <row r="175">
      <c r="A175" s="17">
        <f>IF(B175="","","CW-"&amp;TEXT(ROW()-4,"000"))</f>
        <v/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</row>
    <row r="176">
      <c r="A176" s="18">
        <f>IF(B176="","","CW-"&amp;TEXT(ROW()-4,"000"))</f>
        <v/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</row>
    <row r="177">
      <c r="A177" s="17">
        <f>IF(B177="","","CW-"&amp;TEXT(ROW()-4,"000"))</f>
        <v/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</row>
    <row r="178">
      <c r="A178" s="18">
        <f>IF(B178="","","CW-"&amp;TEXT(ROW()-4,"000"))</f>
        <v/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</row>
    <row r="179">
      <c r="A179" s="17">
        <f>IF(B179="","","CW-"&amp;TEXT(ROW()-4,"000"))</f>
        <v/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</row>
    <row r="180">
      <c r="A180" s="18">
        <f>IF(B180="","","CW-"&amp;TEXT(ROW()-4,"000"))</f>
        <v/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</row>
    <row r="181">
      <c r="A181" s="17">
        <f>IF(B181="","","CW-"&amp;TEXT(ROW()-4,"000"))</f>
        <v/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</row>
    <row r="182">
      <c r="A182" s="18">
        <f>IF(B182="","","CW-"&amp;TEXT(ROW()-4,"000"))</f>
        <v/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</row>
    <row r="183">
      <c r="A183" s="17">
        <f>IF(B183="","","CW-"&amp;TEXT(ROW()-4,"000"))</f>
        <v/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</row>
    <row r="184">
      <c r="A184" s="18">
        <f>IF(B184="","","CW-"&amp;TEXT(ROW()-4,"000"))</f>
        <v/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</row>
    <row r="185">
      <c r="A185" s="17">
        <f>IF(B185="","","CW-"&amp;TEXT(ROW()-4,"000"))</f>
        <v/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</row>
    <row r="186">
      <c r="A186" s="18">
        <f>IF(B186="","","CW-"&amp;TEXT(ROW()-4,"000"))</f>
        <v/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</row>
    <row r="187">
      <c r="A187" s="17">
        <f>IF(B187="","","CW-"&amp;TEXT(ROW()-4,"000"))</f>
        <v/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</row>
    <row r="188">
      <c r="A188" s="18">
        <f>IF(B188="","","CW-"&amp;TEXT(ROW()-4,"000"))</f>
        <v/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</row>
    <row r="189">
      <c r="A189" s="17">
        <f>IF(B189="","","CW-"&amp;TEXT(ROW()-4,"000"))</f>
        <v/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</row>
    <row r="190">
      <c r="A190" s="18">
        <f>IF(B190="","","CW-"&amp;TEXT(ROW()-4,"000"))</f>
        <v/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</row>
    <row r="191">
      <c r="A191" s="17">
        <f>IF(B191="","","CW-"&amp;TEXT(ROW()-4,"000"))</f>
        <v/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</row>
    <row r="192">
      <c r="A192" s="18">
        <f>IF(B192="","","CW-"&amp;TEXT(ROW()-4,"000"))</f>
        <v/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</row>
    <row r="193">
      <c r="A193" s="17">
        <f>IF(B193="","","CW-"&amp;TEXT(ROW()-4,"000"))</f>
        <v/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</row>
    <row r="194">
      <c r="A194" s="18">
        <f>IF(B194="","","CW-"&amp;TEXT(ROW()-4,"000"))</f>
        <v/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</row>
    <row r="195">
      <c r="A195" s="17">
        <f>IF(B195="","","CW-"&amp;TEXT(ROW()-4,"000"))</f>
        <v/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</row>
    <row r="196">
      <c r="A196" s="18">
        <f>IF(B196="","","CW-"&amp;TEXT(ROW()-4,"000"))</f>
        <v/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</row>
    <row r="197">
      <c r="A197" s="17">
        <f>IF(B197="","","CW-"&amp;TEXT(ROW()-4,"000"))</f>
        <v/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</row>
    <row r="198">
      <c r="A198" s="18">
        <f>IF(B198="","","CW-"&amp;TEXT(ROW()-4,"000"))</f>
        <v/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</row>
    <row r="199">
      <c r="A199" s="17">
        <f>IF(B199="","","CW-"&amp;TEXT(ROW()-4,"000"))</f>
        <v/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</row>
    <row r="200">
      <c r="A200" s="18">
        <f>IF(B200="","","CW-"&amp;TEXT(ROW()-4,"000"))</f>
        <v/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</row>
    <row r="201">
      <c r="A201" s="17">
        <f>IF(B201="","","CW-"&amp;TEXT(ROW()-4,"000"))</f>
        <v/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</row>
    <row r="202">
      <c r="A202" s="18">
        <f>IF(B202="","","CW-"&amp;TEXT(ROW()-4,"000"))</f>
        <v/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</row>
    <row r="203">
      <c r="A203" s="17">
        <f>IF(B203="","","CW-"&amp;TEXT(ROW()-4,"000"))</f>
        <v/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</row>
    <row r="204">
      <c r="A204" s="18">
        <f>IF(B204="","","CW-"&amp;TEXT(ROW()-4,"000"))</f>
        <v/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</row>
  </sheetData>
  <autoFilter ref="A4:Q4"/>
  <mergeCells count="2">
    <mergeCell ref="A2:Q2"/>
    <mergeCell ref="A1:Q1"/>
  </mergeCells>
  <conditionalFormatting sqref="L5:L204">
    <cfRule type="expression" priority="1" dxfId="0">
      <formula>L5="Yes"</formula>
    </cfRule>
  </conditionalFormatting>
  <conditionalFormatting sqref="N5:N204">
    <cfRule type="expression" priority="2" dxfId="0">
      <formula>N5="Yes"</formula>
    </cfRule>
  </conditionalFormatting>
  <dataValidations count="7">
    <dataValidation sqref="I5:I204" showDropDown="0" showInputMessage="0" showErrorMessage="0" allowBlank="0" type="list">
      <formula1>"Yes,No,Unknown"</formula1>
    </dataValidation>
    <dataValidation sqref="J5:J204" showDropDown="0" showInputMessage="0" showErrorMessage="0" allowBlank="0" type="list">
      <formula1>"Not sent,Sent"</formula1>
    </dataValidation>
    <dataValidation sqref="K5:K204" showDropDown="0" showInputMessage="0" showErrorMessage="0" allowBlank="0" type="list">
      <formula1>"Not sent,Sent"</formula1>
    </dataValidation>
    <dataValidation sqref="L5:L204" showDropDown="0" showInputMessage="0" showErrorMessage="0" allowBlank="0" type="list">
      <formula1>"Yes,No"</formula1>
    </dataValidation>
    <dataValidation sqref="N5:N204" showDropDown="0" showInputMessage="0" showErrorMessage="0" allowBlank="0" type="list">
      <formula1>"Yes,No"</formula1>
    </dataValidation>
    <dataValidation sqref="P5:P204" showDropDown="0" showInputMessage="0" showErrorMessage="0" allowBlank="0" type="list">
      <formula1>"Yes,No"</formula1>
    </dataValidation>
    <dataValidation sqref="M5:M204" showDropDown="0" showInputMessage="0" showErrorMessage="0" allowBlank="0" type="list">
      <formula1>"Podcast,Open Studio,Drop-in,Book club,Workshop,City drop,Collaborate,Shadow host,No ask yet"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24" customWidth="1" min="5" max="5"/>
    <col width="28" customWidth="1" min="6" max="6"/>
    <col width="22" customWidth="1" min="7" max="7"/>
    <col width="22" customWidth="1" min="8" max="8"/>
    <col width="22" customWidth="1" min="9" max="9"/>
    <col width="22" customWidth="1" min="10" max="10"/>
    <col width="34" customWidth="1" min="11" max="11"/>
  </cols>
  <sheetData>
    <row r="1" ht="36" customHeight="1">
      <c r="A1" s="1" t="inlineStr">
        <is>
          <t>EVENTS</t>
        </is>
      </c>
    </row>
    <row r="2" ht="30" customHeight="1">
      <c r="A2" s="2" t="inlineStr">
        <is>
          <t>Public experience planning plus the one return invitation. Internal production remains at cr8w.com.</t>
        </is>
      </c>
    </row>
    <row r="4" ht="28" customHeight="1">
      <c r="A4" s="5" t="inlineStr">
        <is>
          <t>Event ID</t>
        </is>
      </c>
      <c r="B4" s="5" t="inlineStr">
        <is>
          <t>Event</t>
        </is>
      </c>
      <c r="C4" s="5" t="inlineStr">
        <is>
          <t>Type</t>
        </is>
      </c>
      <c r="D4" s="5" t="inlineStr">
        <is>
          <t>Date</t>
        </is>
      </c>
      <c r="E4" s="5" t="inlineStr">
        <is>
          <t>Public URL</t>
        </is>
      </c>
      <c r="F4" s="5" t="inlineStr">
        <is>
          <t>Desired body-feel</t>
        </is>
      </c>
      <c r="G4" s="5" t="inlineStr">
        <is>
          <t>Primary invitation</t>
        </is>
      </c>
      <c r="H4" s="5" t="inlineStr">
        <is>
          <t>Owner</t>
        </is>
      </c>
      <c r="I4" s="5" t="inlineStr">
        <is>
          <t>Capacity</t>
        </is>
      </c>
      <c r="J4" s="5" t="inlineStr">
        <is>
          <t>Status</t>
        </is>
      </c>
      <c r="K4" s="5" t="inlineStr">
        <is>
          <t>Depanty / learning</t>
        </is>
      </c>
    </row>
    <row r="5">
      <c r="A5" s="17">
        <f>IF(B5="","","EV-"&amp;TEXT(ROW()-4,"000"))</f>
        <v/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18">
        <f>IF(B6="","","EV-"&amp;TEXT(ROW()-4,"000"))</f>
        <v/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</row>
    <row r="7">
      <c r="A7" s="17">
        <f>IF(B7="","","EV-"&amp;TEXT(ROW()-4,"000"))</f>
        <v/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8">
        <f>IF(B8="","","EV-"&amp;TEXT(ROW()-4,"000"))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>
      <c r="A9" s="17">
        <f>IF(B9="","","EV-"&amp;TEXT(ROW()-4,"000"))</f>
        <v/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8">
        <f>IF(B10="","","EV-"&amp;TEXT(ROW()-4,"000"))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>
      <c r="A11" s="17">
        <f>IF(B11="","","EV-"&amp;TEXT(ROW()-4,"000"))</f>
        <v/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>
      <c r="A12" s="18">
        <f>IF(B12="","","EV-"&amp;TEXT(ROW()-4,"000"))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>
      <c r="A13" s="17">
        <f>IF(B13="","","EV-"&amp;TEXT(ROW()-4,"000"))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>
      <c r="A14" s="18">
        <f>IF(B14="","","EV-"&amp;TEXT(ROW()-4,"000"))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>
      <c r="A15" s="17">
        <f>IF(B15="","","EV-"&amp;TEXT(ROW()-4,"000"))</f>
        <v/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>
      <c r="A16" s="18">
        <f>IF(B16="","","EV-"&amp;TEXT(ROW()-4,"000"))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A17" s="17">
        <f>IF(B17="","","EV-"&amp;TEXT(ROW()-4,"000"))</f>
        <v/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>
      <c r="A18" s="18">
        <f>IF(B18="","","EV-"&amp;TEXT(ROW()-4,"000"))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A19" s="17">
        <f>IF(B19="","","EV-"&amp;TEXT(ROW()-4,"000"))</f>
        <v/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>
      <c r="A20" s="18">
        <f>IF(B20="","","EV-"&amp;TEXT(ROW()-4,"000"))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7">
        <f>IF(B21="","","EV-"&amp;TEXT(ROW()-4,"000"))</f>
        <v/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>
      <c r="A22" s="18">
        <f>IF(B22="","","EV-"&amp;TEXT(ROW()-4,"000"))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>
      <c r="A23" s="17">
        <f>IF(B23="","","EV-"&amp;TEXT(ROW()-4,"000"))</f>
        <v/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>
      <c r="A24" s="18">
        <f>IF(B24="","","EV-"&amp;TEXT(ROW()-4,"000"))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7">
        <f>IF(B25="","","EV-"&amp;TEXT(ROW()-4,"000"))</f>
        <v/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8">
        <f>IF(B26="","","EV-"&amp;TEXT(ROW()-4,"000"))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7">
        <f>IF(B27="","","EV-"&amp;TEXT(ROW()-4,"000"))</f>
        <v/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8">
        <f>IF(B28="","","EV-"&amp;TEXT(ROW()-4,"000"))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7">
        <f>IF(B29="","","EV-"&amp;TEXT(ROW()-4,"000"))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8">
        <f>IF(B30="","","EV-"&amp;TEXT(ROW()-4,"000"))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17">
        <f>IF(B31="","","EV-"&amp;TEXT(ROW()-4,"000"))</f>
        <v/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8">
        <f>IF(B32="","","EV-"&amp;TEXT(ROW()-4,"000"))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7">
        <f>IF(B33="","","EV-"&amp;TEXT(ROW()-4,"000"))</f>
        <v/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8">
        <f>IF(B34="","","EV-"&amp;TEXT(ROW()-4,"000"))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>
      <c r="A35" s="17">
        <f>IF(B35="","","EV-"&amp;TEXT(ROW()-4,"000"))</f>
        <v/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8">
        <f>IF(B36="","","EV-"&amp;TEXT(ROW()-4,"000"))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>
      <c r="A37" s="17">
        <f>IF(B37="","","EV-"&amp;TEXT(ROW()-4,"000"))</f>
        <v/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>
      <c r="A38" s="18">
        <f>IF(B38="","","EV-"&amp;TEXT(ROW()-4,"000"))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7">
        <f>IF(B39="","","EV-"&amp;TEXT(ROW()-4,"000"))</f>
        <v/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>
      <c r="A40" s="18">
        <f>IF(B40="","","EV-"&amp;TEXT(ROW()-4,"000"))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7">
        <f>IF(B41="","","EV-"&amp;TEXT(ROW()-4,"000"))</f>
        <v/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>
      <c r="A42" s="18">
        <f>IF(B42="","","EV-"&amp;TEXT(ROW()-4,"000"))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7">
        <f>IF(B43="","","EV-"&amp;TEXT(ROW()-4,"000"))</f>
        <v/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>
      <c r="A44" s="18">
        <f>IF(B44="","","EV-"&amp;TEXT(ROW()-4,"000"))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>
      <c r="A45" s="17">
        <f>IF(B45="","","EV-"&amp;TEXT(ROW()-4,"000"))</f>
        <v/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>
      <c r="A46" s="18">
        <f>IF(B46="","","EV-"&amp;TEXT(ROW()-4,"000"))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>
      <c r="A47" s="17">
        <f>IF(B47="","","EV-"&amp;TEXT(ROW()-4,"000"))</f>
        <v/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>
      <c r="A48" s="18">
        <f>IF(B48="","","EV-"&amp;TEXT(ROW()-4,"000"))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>
      <c r="A49" s="17">
        <f>IF(B49="","","EV-"&amp;TEXT(ROW()-4,"000"))</f>
        <v/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>
      <c r="A50" s="18">
        <f>IF(B50="","","EV-"&amp;TEXT(ROW()-4,"000"))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>
      <c r="A51" s="17">
        <f>IF(B51="","","EV-"&amp;TEXT(ROW()-4,"000"))</f>
        <v/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18">
        <f>IF(B52="","","EV-"&amp;TEXT(ROW()-4,"000"))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>
      <c r="A53" s="17">
        <f>IF(B53="","","EV-"&amp;TEXT(ROW()-4,"000"))</f>
        <v/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>
      <c r="A54" s="18">
        <f>IF(B54="","","EV-"&amp;TEXT(ROW()-4,"000"))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</row>
    <row r="55">
      <c r="A55" s="17">
        <f>IF(B55="","","EV-"&amp;TEXT(ROW()-4,"000"))</f>
        <v/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>
      <c r="A56" s="18">
        <f>IF(B56="","","EV-"&amp;TEXT(ROW()-4,"000"))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>
      <c r="A57" s="17">
        <f>IF(B57="","","EV-"&amp;TEXT(ROW()-4,"000"))</f>
        <v/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8">
        <f>IF(B58="","","EV-"&amp;TEXT(ROW()-4,"000"))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>
      <c r="A59" s="17">
        <f>IF(B59="","","EV-"&amp;TEXT(ROW()-4,"000"))</f>
        <v/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>
      <c r="A60" s="18">
        <f>IF(B60="","","EV-"&amp;TEXT(ROW()-4,"000"))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  <row r="61">
      <c r="A61" s="17">
        <f>IF(B61="","","EV-"&amp;TEXT(ROW()-4,"000"))</f>
        <v/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>
      <c r="A62" s="18">
        <f>IF(B62="","","EV-"&amp;TEXT(ROW()-4,"000"))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>
      <c r="A63" s="17">
        <f>IF(B63="","","EV-"&amp;TEXT(ROW()-4,"000"))</f>
        <v/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>
      <c r="A64" s="18">
        <f>IF(B64="","","EV-"&amp;TEXT(ROW()-4,"000"))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</row>
    <row r="65">
      <c r="A65" s="17">
        <f>IF(B65="","","EV-"&amp;TEXT(ROW()-4,"000"))</f>
        <v/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>
      <c r="A66" s="18">
        <f>IF(B66="","","EV-"&amp;TEXT(ROW()-4,"000"))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>
      <c r="A67" s="17">
        <f>IF(B67="","","EV-"&amp;TEXT(ROW()-4,"000"))</f>
        <v/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>
      <c r="A68" s="18">
        <f>IF(B68="","","EV-"&amp;TEXT(ROW()-4,"000"))</f>
        <v/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</row>
    <row r="69">
      <c r="A69" s="17">
        <f>IF(B69="","","EV-"&amp;TEXT(ROW()-4,"000"))</f>
        <v/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>
      <c r="A70" s="18">
        <f>IF(B70="","","EV-"&amp;TEXT(ROW()-4,"000"))</f>
        <v/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</row>
    <row r="71">
      <c r="A71" s="17">
        <f>IF(B71="","","EV-"&amp;TEXT(ROW()-4,"000"))</f>
        <v/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>
      <c r="A72" s="18">
        <f>IF(B72="","","EV-"&amp;TEXT(ROW()-4,"000"))</f>
        <v/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</row>
    <row r="73">
      <c r="A73" s="17">
        <f>IF(B73="","","EV-"&amp;TEXT(ROW()-4,"000"))</f>
        <v/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>
      <c r="A74" s="18">
        <f>IF(B74="","","EV-"&amp;TEXT(ROW()-4,"000"))</f>
        <v/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</row>
    <row r="75">
      <c r="A75" s="17">
        <f>IF(B75="","","EV-"&amp;TEXT(ROW()-4,"000"))</f>
        <v/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>
      <c r="A76" s="18">
        <f>IF(B76="","","EV-"&amp;TEXT(ROW()-4,"000"))</f>
        <v/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</row>
    <row r="77">
      <c r="A77" s="17">
        <f>IF(B77="","","EV-"&amp;TEXT(ROW()-4,"000"))</f>
        <v/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>
      <c r="A78" s="18">
        <f>IF(B78="","","EV-"&amp;TEXT(ROW()-4,"000"))</f>
        <v/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</row>
    <row r="79">
      <c r="A79" s="17">
        <f>IF(B79="","","EV-"&amp;TEXT(ROW()-4,"000"))</f>
        <v/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>
      <c r="A80" s="18">
        <f>IF(B80="","","EV-"&amp;TEXT(ROW()-4,"000"))</f>
        <v/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</row>
    <row r="81">
      <c r="A81" s="17">
        <f>IF(B81="","","EV-"&amp;TEXT(ROW()-4,"000"))</f>
        <v/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>
      <c r="A82" s="18">
        <f>IF(B82="","","EV-"&amp;TEXT(ROW()-4,"000"))</f>
        <v/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</row>
    <row r="83">
      <c r="A83" s="17">
        <f>IF(B83="","","EV-"&amp;TEXT(ROW()-4,"000"))</f>
        <v/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>
      <c r="A84" s="18">
        <f>IF(B84="","","EV-"&amp;TEXT(ROW()-4,"000"))</f>
        <v/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</row>
    <row r="85">
      <c r="A85" s="17">
        <f>IF(B85="","","EV-"&amp;TEXT(ROW()-4,"000"))</f>
        <v/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>
      <c r="A86" s="18">
        <f>IF(B86="","","EV-"&amp;TEXT(ROW()-4,"000"))</f>
        <v/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</row>
    <row r="87">
      <c r="A87" s="17">
        <f>IF(B87="","","EV-"&amp;TEXT(ROW()-4,"000"))</f>
        <v/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>
      <c r="A88" s="18">
        <f>IF(B88="","","EV-"&amp;TEXT(ROW()-4,"000"))</f>
        <v/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>
      <c r="A89" s="17">
        <f>IF(B89="","","EV-"&amp;TEXT(ROW()-4,"000"))</f>
        <v/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>
      <c r="A90" s="18">
        <f>IF(B90="","","EV-"&amp;TEXT(ROW()-4,"000"))</f>
        <v/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</row>
    <row r="91">
      <c r="A91" s="17">
        <f>IF(B91="","","EV-"&amp;TEXT(ROW()-4,"000"))</f>
        <v/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>
      <c r="A92" s="18">
        <f>IF(B92="","","EV-"&amp;TEXT(ROW()-4,"000"))</f>
        <v/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</row>
    <row r="93">
      <c r="A93" s="17">
        <f>IF(B93="","","EV-"&amp;TEXT(ROW()-4,"000"))</f>
        <v/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>
      <c r="A94" s="18">
        <f>IF(B94="","","EV-"&amp;TEXT(ROW()-4,"000"))</f>
        <v/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</row>
    <row r="95">
      <c r="A95" s="17">
        <f>IF(B95="","","EV-"&amp;TEXT(ROW()-4,"000"))</f>
        <v/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>
      <c r="A96" s="18">
        <f>IF(B96="","","EV-"&amp;TEXT(ROW()-4,"000"))</f>
        <v/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>
      <c r="A97" s="17">
        <f>IF(B97="","","EV-"&amp;TEXT(ROW()-4,"000"))</f>
        <v/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>
      <c r="A98" s="18">
        <f>IF(B98="","","EV-"&amp;TEXT(ROW()-4,"000"))</f>
        <v/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</row>
    <row r="99">
      <c r="A99" s="17">
        <f>IF(B99="","","EV-"&amp;TEXT(ROW()-4,"000"))</f>
        <v/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>
      <c r="A100" s="18">
        <f>IF(B100="","","EV-"&amp;TEXT(ROW()-4,"000"))</f>
        <v/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</row>
    <row r="101">
      <c r="A101" s="17">
        <f>IF(B101="","","EV-"&amp;TEXT(ROW()-4,"000"))</f>
        <v/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</row>
    <row r="102">
      <c r="A102" s="18">
        <f>IF(B102="","","EV-"&amp;TEXT(ROW()-4,"000"))</f>
        <v/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</row>
    <row r="103">
      <c r="A103" s="17">
        <f>IF(B103="","","EV-"&amp;TEXT(ROW()-4,"000"))</f>
        <v/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</row>
    <row r="104">
      <c r="A104" s="18">
        <f>IF(B104="","","EV-"&amp;TEXT(ROW()-4,"000"))</f>
        <v/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</row>
  </sheetData>
  <autoFilter ref="A4:K4"/>
  <mergeCells count="2">
    <mergeCell ref="A2:K2"/>
    <mergeCell ref="A1:K1"/>
  </mergeCells>
  <dataValidations count="2">
    <dataValidation sqref="C5:C104" showDropDown="0" showInputMessage="0" showErrorMessage="0" allowBlank="0" type="list">
      <formula1>"Open Studio,Drop-in,Book club,Workshop,City drop,Geyser,Surprise-ment,Podcast live"</formula1>
    </dataValidation>
    <dataValidation sqref="J5:J104" showDropDown="0" showInputMessage="0" showErrorMessage="0" allowBlank="0" type="list">
      <formula1>"Idea,Building,Live,Complete,Paused,Not now"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60" customWidth="1" min="4" max="4"/>
    <col width="30" customWidth="1" min="5" max="5"/>
    <col width="28" customWidth="1" min="6" max="6"/>
  </cols>
  <sheetData>
    <row r="1" ht="36" customHeight="1">
      <c r="A1" s="1" t="inlineStr">
        <is>
          <t>COPY + TOUCHPOINTS</t>
        </is>
      </c>
    </row>
    <row r="2" ht="30" customHeight="1">
      <c r="A2" s="2" t="inlineStr">
        <is>
          <t>Website-aligned language for invitations that feel like an exhale, not a chase sequence.</t>
        </is>
      </c>
    </row>
    <row r="4" ht="28" customHeight="1">
      <c r="A4" s="5" t="inlineStr">
        <is>
          <t>Moment</t>
        </is>
      </c>
      <c r="B4" s="5" t="inlineStr">
        <is>
          <t>Audience state</t>
        </is>
      </c>
      <c r="C4" s="5" t="inlineStr">
        <is>
          <t>Purpose</t>
        </is>
      </c>
      <c r="D4" s="5" t="inlineStr">
        <is>
          <t>Editable copy</t>
        </is>
      </c>
      <c r="E4" s="5" t="inlineStr">
        <is>
          <t>Primary link</t>
        </is>
      </c>
      <c r="F4" s="5" t="inlineStr">
        <is>
          <t>Owner</t>
        </is>
      </c>
    </row>
    <row r="5">
      <c r="A5" s="8" t="inlineStr">
        <is>
          <t>Public home hero</t>
        </is>
      </c>
      <c r="B5" s="8" t="inlineStr">
        <is>
          <t>Seeking / burned out</t>
        </is>
      </c>
      <c r="C5" s="8" t="inlineStr">
        <is>
          <t>Recognition</t>
        </is>
      </c>
      <c r="D5" s="8" t="inlineStr">
        <is>
          <t>A community of creative beings coming home. Create with joy, with other people who get it.</t>
        </is>
      </c>
      <c r="E5" s="8" t="inlineStr">
        <is>
          <t>[PUBLIC CREATE WELL DOMAIN]</t>
        </is>
      </c>
      <c r="F5" s="8" t="inlineStr">
        <is>
          <t>Sunshine</t>
        </is>
      </c>
    </row>
    <row r="6">
      <c r="A6" s="6" t="inlineStr">
        <is>
          <t>Community CTA</t>
        </is>
      </c>
      <c r="B6" s="6" t="inlineStr">
        <is>
          <t>Interested</t>
        </is>
      </c>
      <c r="C6" s="6" t="inlineStr">
        <is>
          <t>Opt in</t>
        </is>
      </c>
      <c r="D6" s="6" t="inlineStr">
        <is>
          <t>Come home. Get future gatherings, creative prompts, and invitations when the next room is ready.</t>
        </is>
      </c>
      <c r="E6" s="6" t="inlineStr">
        <is>
          <t>[PUBLIC CREATE WELL DOMAIN]</t>
        </is>
      </c>
      <c r="F6" s="6" t="inlineStr">
        <is>
          <t>Sunshine</t>
        </is>
      </c>
    </row>
    <row r="7">
      <c r="A7" s="8" t="inlineStr">
        <is>
          <t>Event QR</t>
        </is>
      </c>
      <c r="B7" s="8" t="inlineStr">
        <is>
          <t>Present in room</t>
        </is>
      </c>
      <c r="C7" s="8" t="inlineStr">
        <is>
          <t>Continuity</t>
        </is>
      </c>
      <c r="D7" s="8" t="inlineStr">
        <is>
          <t>Want to find your way back? Come home here.</t>
        </is>
      </c>
      <c r="E7" s="8" t="inlineStr">
        <is>
          <t>[PUBLIC CREATE WELL DOMAIN]</t>
        </is>
      </c>
      <c r="F7" s="8" t="inlineStr">
        <is>
          <t>Day-of support</t>
        </is>
      </c>
    </row>
    <row r="8">
      <c r="A8" s="6" t="inlineStr">
        <is>
          <t>24–48h thank-you</t>
        </is>
      </c>
      <c r="B8" s="6" t="inlineStr">
        <is>
          <t>Just attended</t>
        </is>
      </c>
      <c r="C8" s="6" t="inlineStr">
        <is>
          <t>Deliver value</t>
        </is>
      </c>
      <c r="D8" s="6" t="inlineStr">
        <is>
          <t>You made the room what it was. Here are the things we promised, plus one way to stay close.</t>
        </is>
      </c>
      <c r="E8" s="6" t="inlineStr">
        <is>
          <t>[PUBLIC CREATE WELL DOMAIN]</t>
        </is>
      </c>
      <c r="F8" s="6" t="inlineStr">
        <is>
          <t>Sunshine</t>
        </is>
      </c>
    </row>
    <row r="9">
      <c r="A9" s="8" t="inlineStr">
        <is>
          <t>Personal check-in</t>
        </is>
      </c>
      <c r="B9" s="8" t="inlineStr">
        <is>
          <t>Warm relationship</t>
        </is>
      </c>
      <c r="C9" s="8" t="inlineStr">
        <is>
          <t>Listen</t>
        </is>
      </c>
      <c r="D9" s="8" t="inlineStr">
        <is>
          <t>What stayed with you after the room? No homework. We are just curious.</t>
        </is>
      </c>
      <c r="E9" s="8" t="inlineStr"/>
      <c r="F9" s="8" t="inlineStr">
        <is>
          <t>Natural relationship holder</t>
        </is>
      </c>
    </row>
    <row r="10">
      <c r="A10" s="6" t="inlineStr">
        <is>
          <t>Return invite</t>
        </is>
      </c>
      <c r="B10" s="6" t="inlineStr">
        <is>
          <t>Opted in</t>
        </is>
      </c>
      <c r="C10" s="6" t="inlineStr">
        <is>
          <t>Make return easy</t>
        </is>
      </c>
      <c r="D10" s="6" t="inlineStr">
        <is>
          <t>The next room is ready. Come as you are. Bring whatever you are making, avoiding, or remembering.</t>
        </is>
      </c>
      <c r="E10" s="6" t="inlineStr">
        <is>
          <t>[PUBLIC CREATE WELL DOMAIN]</t>
        </is>
      </c>
      <c r="F10" s="6" t="inlineStr">
        <is>
          <t>Sunshine + Bingle</t>
        </is>
      </c>
    </row>
    <row r="11">
      <c r="A11" s="8" t="inlineStr">
        <is>
          <t>Shadow host invite</t>
        </is>
      </c>
      <c r="B11" s="8" t="inlineStr">
        <is>
          <t>Repeat attendee</t>
        </is>
      </c>
      <c r="C11" s="8" t="inlineStr">
        <is>
          <t>Deepen reciprocity</t>
        </is>
      </c>
      <c r="D11" s="8" t="inlineStr">
        <is>
          <t>We have loved how you show up in the room. Want to shadow one gathering and see how it feels? No pressure, no surprise job description.</t>
        </is>
      </c>
      <c r="E11" s="8" t="inlineStr"/>
      <c r="F11" s="8" t="inlineStr">
        <is>
          <t>Monica + Sunshine</t>
        </is>
      </c>
    </row>
    <row r="12">
      <c r="A12" s="6" t="inlineStr">
        <is>
          <t>Not now</t>
        </is>
      </c>
      <c r="B12" s="6" t="inlineStr">
        <is>
          <t>Any</t>
        </is>
      </c>
      <c r="C12" s="6" t="inlineStr">
        <is>
          <t>Release pressure</t>
        </is>
      </c>
      <c r="D12" s="6" t="inlineStr">
        <is>
          <t>Nothing to do today. We will be here when the next invitation feels like a yes.</t>
        </is>
      </c>
      <c r="E12" s="6" t="inlineStr"/>
      <c r="F12" s="6" t="inlineStr">
        <is>
          <t>Team</t>
        </is>
      </c>
    </row>
  </sheetData>
  <autoFilter ref="A4:F4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2" customWidth="1" min="5" max="5"/>
    <col width="45" customWidth="1" min="6" max="6"/>
  </cols>
  <sheetData>
    <row r="1" ht="36" customHeight="1">
      <c r="A1" s="1" t="inlineStr">
        <is>
          <t>COMMUNITY SIGNALS</t>
        </is>
      </c>
    </row>
    <row r="2" ht="30" customHeight="1">
      <c r="A2" s="2" t="inlineStr">
        <is>
          <t>Measure return and reciprocity, not attention theater. Blank denominators stay blank.</t>
        </is>
      </c>
    </row>
    <row r="4" ht="28" customHeight="1">
      <c r="A4" s="5" t="inlineStr">
        <is>
          <t>Signal</t>
        </is>
      </c>
      <c r="B4" s="5" t="inlineStr">
        <is>
          <t>Current</t>
        </is>
      </c>
      <c r="C4" s="5" t="inlineStr">
        <is>
          <t>Denominator</t>
        </is>
      </c>
      <c r="D4" s="5" t="inlineStr">
        <is>
          <t>Rate</t>
        </is>
      </c>
      <c r="E4" s="5" t="inlineStr">
        <is>
          <t>Healthy direction</t>
        </is>
      </c>
      <c r="F4" s="5" t="inlineStr">
        <is>
          <t>Interpretation</t>
        </is>
      </c>
    </row>
    <row r="5">
      <c r="A5" s="8" t="inlineStr">
        <is>
          <t>Attendees logged</t>
        </is>
      </c>
      <c r="B5" s="8">
        <f>COUNTA(ATTENDEES!B5:B204)</f>
        <v/>
      </c>
      <c r="C5" s="8" t="inlineStr"/>
      <c r="D5" s="10" t="inlineStr"/>
      <c r="E5" s="8" t="inlineStr">
        <is>
          <t>Complete</t>
        </is>
      </c>
      <c r="F5" s="8" t="inlineStr">
        <is>
          <t>Basic relationship receipt</t>
        </is>
      </c>
    </row>
    <row r="6">
      <c r="A6" s="6" t="inlineStr">
        <is>
          <t>Thank-you sent</t>
        </is>
      </c>
      <c r="B6" s="6">
        <f>COUNTIF(ATTENDEES!J5:J204,"Sent")</f>
        <v/>
      </c>
      <c r="C6" s="6">
        <f>B5</f>
        <v/>
      </c>
      <c r="D6" s="11">
        <f>IFERROR(B6/C6,0)</f>
        <v/>
      </c>
      <c r="E6" s="6" t="inlineStr">
        <is>
          <t>90%+ within 48h</t>
        </is>
      </c>
      <c r="F6" s="6" t="inlineStr">
        <is>
          <t>Did we close the care loop?</t>
        </is>
      </c>
    </row>
    <row r="7">
      <c r="A7" s="8" t="inlineStr">
        <is>
          <t>Public invitations sent</t>
        </is>
      </c>
      <c r="B7" s="8">
        <f>COUNTIF(ATTENDEES!K5:K204,"Sent")</f>
        <v/>
      </c>
      <c r="C7" s="8">
        <f>B6</f>
        <v/>
      </c>
      <c r="D7" s="10">
        <f>IFERROR(B7/C7,0)</f>
        <v/>
      </c>
      <c r="E7" s="8" t="inlineStr">
        <is>
          <t>High, if permission exists</t>
        </is>
      </c>
      <c r="F7" s="8" t="inlineStr">
        <is>
          <t>Did we make the next door visible?</t>
        </is>
      </c>
    </row>
    <row r="8">
      <c r="A8" s="6" t="inlineStr">
        <is>
          <t>Came home</t>
        </is>
      </c>
      <c r="B8" s="6">
        <f>COUNTIF(ATTENDEES!L5:L204,"Yes")</f>
        <v/>
      </c>
      <c r="C8" s="6">
        <f>B7</f>
        <v/>
      </c>
      <c r="D8" s="11">
        <f>IFERROR(B8/C8,0)</f>
        <v/>
      </c>
      <c r="E8" s="6" t="inlineStr">
        <is>
          <t>Directional, not quota</t>
        </is>
      </c>
      <c r="F8" s="6" t="inlineStr">
        <is>
          <t>Did the invitation feel aligned?</t>
        </is>
      </c>
    </row>
    <row r="9">
      <c r="A9" s="8" t="inlineStr">
        <is>
          <t>Returned</t>
        </is>
      </c>
      <c r="B9" s="8">
        <f>COUNTIF(ATTENDEES!N5:N204,"Yes")</f>
        <v/>
      </c>
      <c r="C9" s="8">
        <f>B8</f>
        <v/>
      </c>
      <c r="D9" s="10">
        <f>IFERROR(B9/C9,0)</f>
        <v/>
      </c>
      <c r="E9" s="8" t="inlineStr">
        <is>
          <t>Rising over time</t>
        </is>
      </c>
      <c r="F9" s="8" t="inlineStr">
        <is>
          <t>Did belonging become behavior?</t>
        </is>
      </c>
    </row>
    <row r="10">
      <c r="A10" s="6" t="inlineStr">
        <is>
          <t>Deepened</t>
        </is>
      </c>
      <c r="B10" s="6">
        <f>COUNTIF(ATTENDEES!P5:P204,"Yes")</f>
        <v/>
      </c>
      <c r="C10" s="6">
        <f>B9</f>
        <v/>
      </c>
      <c r="D10" s="11">
        <f>IFERROR(B10/C10,0)</f>
        <v/>
      </c>
      <c r="E10" s="6" t="inlineStr">
        <is>
          <t>Small and reciprocal</t>
        </is>
      </c>
      <c r="F10" s="6" t="inlineStr">
        <is>
          <t>Are repeat people finding meaningful roles?</t>
        </is>
      </c>
    </row>
    <row r="11">
      <c r="A11" s="8" t="inlineStr">
        <is>
          <t>Relationship notes present</t>
        </is>
      </c>
      <c r="B11" s="8">
        <f>COUNTIF(ATTENDEES!Q5:Q204,"?*")</f>
        <v/>
      </c>
      <c r="C11" s="8">
        <f>B5</f>
        <v/>
      </c>
      <c r="D11" s="10">
        <f>IFERROR(B11/C11,0)</f>
        <v/>
      </c>
      <c r="E11" s="8" t="inlineStr">
        <is>
          <t>Useful, not invasive</t>
        </is>
      </c>
      <c r="F11" s="8" t="inlineStr">
        <is>
          <t>Are we remembering people as humans?</t>
        </is>
      </c>
    </row>
  </sheetData>
  <autoFilter ref="A4:F4"/>
  <mergeCells count="2">
    <mergeCell ref="A2:F2"/>
    <mergeCell ref="A1:F1"/>
  </mergeCells>
  <conditionalFormatting sqref="D5:D11">
    <cfRule type="colorScale" priority="1">
      <colorScale>
        <cfvo type="min"/>
        <cfvo type="percentile" val="50"/>
        <cfvo type="max"/>
        <color rgb="00F4D4CC"/>
        <color rgb="00F1DFC1"/>
        <color rgb="00DDE8D8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56" customWidth="1" min="3" max="3"/>
    <col width="12" customWidth="1" min="4" max="4"/>
    <col width="14" customWidth="1" min="5" max="5"/>
    <col width="38" customWidth="1" min="6" max="6"/>
  </cols>
  <sheetData>
    <row r="1" ht="36" customHeight="1">
      <c r="A1" s="1" t="inlineStr">
        <is>
          <t>LAUNCH SURVEY SIGNALS</t>
        </is>
      </c>
    </row>
    <row r="2" ht="30" customHeight="1">
      <c r="A2" s="2" t="inlineStr">
        <is>
          <t>Small directional room sample. Use it to choose the next experiment, not to manufacture audience certainty.</t>
        </is>
      </c>
    </row>
    <row r="4" ht="28" customHeight="1">
      <c r="A4" s="5" t="inlineStr">
        <is>
          <t>Question</t>
        </is>
      </c>
      <c r="B4" s="5" t="inlineStr">
        <is>
          <t>Rank</t>
        </is>
      </c>
      <c r="C4" s="5" t="inlineStr">
        <is>
          <t>Response</t>
        </is>
      </c>
      <c r="D4" s="5" t="inlineStr">
        <is>
          <t>Count</t>
        </is>
      </c>
      <c r="E4" s="5" t="inlineStr">
        <is>
          <t>Share</t>
        </is>
      </c>
      <c r="F4" s="5" t="inlineStr">
        <is>
          <t>Use in pathway</t>
        </is>
      </c>
    </row>
    <row r="5">
      <c r="A5" s="8" t="inlineStr">
        <is>
          <t>Q1 Biggest thief of creative joy</t>
        </is>
      </c>
      <c r="B5" s="8" t="n">
        <v>1</v>
      </c>
      <c r="C5" s="8" t="inlineStr">
        <is>
          <t>Creative paralysis, imposter syndrome, not knowing where to start</t>
        </is>
      </c>
      <c r="D5" s="8" t="n">
        <v>8</v>
      </c>
      <c r="E5" s="10" t="n">
        <v>0.444</v>
      </c>
      <c r="F5" s="8" t="inlineStr">
        <is>
          <t>Lead with relief from paralysis and pressure, not productivity.</t>
        </is>
      </c>
    </row>
    <row r="6">
      <c r="A6" s="6" t="inlineStr">
        <is>
          <t>Q1 Biggest thief of creative joy</t>
        </is>
      </c>
      <c r="B6" s="6" t="n">
        <v>2</v>
      </c>
      <c r="C6" s="6" t="inlineStr">
        <is>
          <t>Hustle culture trap &amp; pressure to commodify my art</t>
        </is>
      </c>
      <c r="D6" s="6" t="n">
        <v>7</v>
      </c>
      <c r="E6" s="11" t="n">
        <v>0.389</v>
      </c>
      <c r="F6" s="6" t="inlineStr">
        <is>
          <t>Lead with relief from paralysis and pressure, not productivity.</t>
        </is>
      </c>
    </row>
    <row r="7">
      <c r="A7" s="8" t="inlineStr">
        <is>
          <t>Q1 Biggest thief of creative joy</t>
        </is>
      </c>
      <c r="B7" s="8" t="n">
        <v>3</v>
      </c>
      <c r="C7" s="8" t="inlineStr">
        <is>
          <t>Corporate/client burnout draining my brain</t>
        </is>
      </c>
      <c r="D7" s="8" t="n">
        <v>3</v>
      </c>
      <c r="E7" s="10" t="n">
        <v>0.167</v>
      </c>
      <c r="F7" s="8" t="inlineStr">
        <is>
          <t>Lead with relief from paralysis and pressure, not productivity.</t>
        </is>
      </c>
    </row>
    <row r="8">
      <c r="A8" s="6" t="inlineStr">
        <is>
          <t>Q1 Biggest thief of creative joy</t>
        </is>
      </c>
      <c r="B8" s="6" t="n">
        <v>4</v>
      </c>
      <c r="C8" s="6" t="inlineStr">
        <is>
          <t>Isolation / lack of non-competitive creative friends</t>
        </is>
      </c>
      <c r="D8" s="6" t="n">
        <v>0</v>
      </c>
      <c r="E8" s="11" t="n">
        <v>0</v>
      </c>
      <c r="F8" s="6" t="inlineStr">
        <is>
          <t>Lead with relief from paralysis and pressure, not productivity.</t>
        </is>
      </c>
    </row>
    <row r="9">
      <c r="A9" s="8" t="inlineStr">
        <is>
          <t>Q2 What refills your well</t>
        </is>
      </c>
      <c r="B9" s="8" t="n">
        <v>1</v>
      </c>
      <c r="C9" s="8" t="inlineStr">
        <is>
          <t>Somatic grounding, bodywork, rest, nervous system care</t>
        </is>
      </c>
      <c r="D9" s="8" t="n">
        <v>7</v>
      </c>
      <c r="E9" s="10" t="n">
        <v>0.368</v>
      </c>
      <c r="F9" s="8" t="inlineStr">
        <is>
          <t>Deliver grounding, honest conversation, and play before asking.</t>
        </is>
      </c>
    </row>
    <row r="10">
      <c r="A10" s="6" t="inlineStr">
        <is>
          <t>Q2 What refills your well</t>
        </is>
      </c>
      <c r="B10" s="6" t="n">
        <v>2</v>
      </c>
      <c r="C10" s="6" t="inlineStr">
        <is>
          <t>Deep, unfiltered conversations with creative playmates</t>
        </is>
      </c>
      <c r="D10" s="6" t="n">
        <v>6</v>
      </c>
      <c r="E10" s="11" t="n">
        <v>0.316</v>
      </c>
      <c r="F10" s="6" t="inlineStr">
        <is>
          <t>Deliver grounding, honest conversation, and play before asking.</t>
        </is>
      </c>
    </row>
    <row r="11">
      <c r="A11" s="8" t="inlineStr">
        <is>
          <t>Q2 What refills your well</t>
        </is>
      </c>
      <c r="B11" s="8" t="n">
        <v>3</v>
      </c>
      <c r="C11" s="8" t="inlineStr">
        <is>
          <t>Unplugged play</t>
        </is>
      </c>
      <c r="D11" s="8" t="n">
        <v>3</v>
      </c>
      <c r="E11" s="10" t="n">
        <v>0.158</v>
      </c>
      <c r="F11" s="8" t="inlineStr">
        <is>
          <t>Deliver grounding, honest conversation, and play before asking.</t>
        </is>
      </c>
    </row>
    <row r="12">
      <c r="A12" s="6" t="inlineStr">
        <is>
          <t>Q2 What refills your well</t>
        </is>
      </c>
      <c r="B12" s="6" t="n">
        <v>3</v>
      </c>
      <c r="C12" s="6" t="inlineStr">
        <is>
          <t>Inspiring art, books, film, storytelling</t>
        </is>
      </c>
      <c r="D12" s="6" t="n">
        <v>3</v>
      </c>
      <c r="E12" s="11" t="n">
        <v>0.158</v>
      </c>
      <c r="F12" s="6" t="inlineStr">
        <is>
          <t>Deliver grounding, honest conversation, and play before asking.</t>
        </is>
      </c>
    </row>
    <row r="13">
      <c r="A13" s="8" t="inlineStr">
        <is>
          <t>Q3 Platform &amp; format</t>
        </is>
      </c>
      <c r="B13" s="8" t="n">
        <v>1</v>
      </c>
      <c r="C13" s="8" t="inlineStr">
        <is>
          <t>Spotify / Apple audio only</t>
        </is>
      </c>
      <c r="D13" s="8" t="n">
        <v>13</v>
      </c>
      <c r="E13" s="10" t="n">
        <v>0.722</v>
      </c>
      <c r="F13" s="8" t="inlineStr">
        <is>
          <t>Use audio as the easiest ongoing return point.</t>
        </is>
      </c>
    </row>
    <row r="14">
      <c r="A14" s="6" t="inlineStr">
        <is>
          <t>Q3 Platform &amp; format</t>
        </is>
      </c>
      <c r="B14" s="6" t="n">
        <v>2</v>
      </c>
      <c r="C14" s="6" t="inlineStr">
        <is>
          <t>YouTube on TV / laptop</t>
        </is>
      </c>
      <c r="D14" s="6" t="n">
        <v>4</v>
      </c>
      <c r="E14" s="11" t="n">
        <v>0.222</v>
      </c>
      <c r="F14" s="6" t="inlineStr">
        <is>
          <t>Use audio as the easiest ongoing return point.</t>
        </is>
      </c>
    </row>
    <row r="15">
      <c r="A15" s="8" t="inlineStr">
        <is>
          <t>Q3 Platform &amp; format</t>
        </is>
      </c>
      <c r="B15" s="8" t="n">
        <v>3</v>
      </c>
      <c r="C15" s="8" t="inlineStr">
        <is>
          <t>TikTok / Reels clips only</t>
        </is>
      </c>
      <c r="D15" s="8" t="n">
        <v>1</v>
      </c>
      <c r="E15" s="10" t="n">
        <v>0.056</v>
      </c>
      <c r="F15" s="8" t="inlineStr">
        <is>
          <t>Use audio as the easiest ongoing return point.</t>
        </is>
      </c>
    </row>
    <row r="16">
      <c r="A16" s="6" t="inlineStr">
        <is>
          <t>Q3 Platform &amp; format</t>
        </is>
      </c>
      <c r="B16" s="6" t="n">
        <v>4</v>
      </c>
      <c r="C16" s="6" t="inlineStr">
        <is>
          <t>Spotify video</t>
        </is>
      </c>
      <c r="D16" s="6" t="n">
        <v>0</v>
      </c>
      <c r="E16" s="11" t="n">
        <v>0</v>
      </c>
      <c r="F16" s="6" t="inlineStr">
        <is>
          <t>Use audio as the easiest ongoing return point.</t>
        </is>
      </c>
    </row>
    <row r="17">
      <c r="A17" s="8" t="inlineStr">
        <is>
          <t>Q5 Future topic priorities</t>
        </is>
      </c>
      <c r="B17" s="8" t="n">
        <v>1</v>
      </c>
      <c r="C17" s="8" t="inlineStr">
        <is>
          <t>BTS of starting over: employee to full-time creative</t>
        </is>
      </c>
      <c r="D17" s="8" t="n">
        <v>6</v>
      </c>
      <c r="E17" s="10" t="n">
        <v>0.333</v>
      </c>
      <c r="F17" s="8" t="inlineStr">
        <is>
          <t>Start with the lived transition from employee to full-time creative.</t>
        </is>
      </c>
    </row>
    <row r="18">
      <c r="A18" s="6" t="inlineStr">
        <is>
          <t>Q5 Future topic priorities</t>
        </is>
      </c>
      <c r="B18" s="6" t="n">
        <v>2</v>
      </c>
      <c r="C18" s="6" t="inlineStr">
        <is>
          <t>Bridging creative passion &amp; actual money</t>
        </is>
      </c>
      <c r="D18" s="6" t="n">
        <v>5</v>
      </c>
      <c r="E18" s="11" t="n">
        <v>0.278</v>
      </c>
      <c r="F18" s="6" t="inlineStr">
        <is>
          <t>Start with the lived transition from employee to full-time creative.</t>
        </is>
      </c>
    </row>
    <row r="19">
      <c r="A19" s="8" t="inlineStr">
        <is>
          <t>Q5 Future topic priorities</t>
        </is>
      </c>
      <c r="B19" s="8" t="n">
        <v>3</v>
      </c>
      <c r="C19" s="8" t="inlineStr">
        <is>
          <t>Overcoming the struggling artist archetype</t>
        </is>
      </c>
      <c r="D19" s="8" t="n">
        <v>4</v>
      </c>
      <c r="E19" s="10" t="n">
        <v>0.222</v>
      </c>
      <c r="F19" s="8" t="inlineStr">
        <is>
          <t>Start with the lived transition from employee to full-time creative.</t>
        </is>
      </c>
    </row>
    <row r="20">
      <c r="A20" s="6" t="inlineStr">
        <is>
          <t>Q5 Future topic priorities</t>
        </is>
      </c>
      <c r="B20" s="6" t="n">
        <v>4</v>
      </c>
      <c r="C20" s="6" t="inlineStr">
        <is>
          <t>Somatic practices &amp; body awareness for perfectionists</t>
        </is>
      </c>
      <c r="D20" s="6" t="n">
        <v>3</v>
      </c>
      <c r="E20" s="11" t="n">
        <v>0.167</v>
      </c>
      <c r="F20" s="6" t="inlineStr">
        <is>
          <t>Start with the lived transition from employee to full-time creative.</t>
        </is>
      </c>
    </row>
    <row r="21">
      <c r="A21" s="8" t="inlineStr">
        <is>
          <t>Q6 Episode length</t>
        </is>
      </c>
      <c r="B21" s="8" t="n">
        <v>1</v>
      </c>
      <c r="C21" s="8" t="inlineStr">
        <is>
          <t>30–45 minutes with chapters</t>
        </is>
      </c>
      <c r="D21" s="8" t="n">
        <v>8</v>
      </c>
      <c r="E21" s="10" t="n">
        <v>0.444</v>
      </c>
      <c r="F21" s="8" t="inlineStr">
        <is>
          <t>Keep the primary format 30–45 minutes with chapters.</t>
        </is>
      </c>
    </row>
    <row r="22">
      <c r="A22" s="6" t="inlineStr">
        <is>
          <t>Q6 Episode length</t>
        </is>
      </c>
      <c r="B22" s="6" t="n">
        <v>2</v>
      </c>
      <c r="C22" s="6" t="inlineStr">
        <is>
          <t>15–20 minute mini-hits</t>
        </is>
      </c>
      <c r="D22" s="6" t="n">
        <v>5</v>
      </c>
      <c r="E22" s="11" t="n">
        <v>0.278</v>
      </c>
      <c r="F22" s="6" t="inlineStr">
        <is>
          <t>Keep the primary format 30–45 minutes with chapters.</t>
        </is>
      </c>
    </row>
    <row r="23">
      <c r="A23" s="8" t="inlineStr">
        <is>
          <t>Q6 Episode length</t>
        </is>
      </c>
      <c r="B23" s="8" t="n">
        <v>2</v>
      </c>
      <c r="C23" s="8" t="inlineStr">
        <is>
          <t>60+ minute deep dive</t>
        </is>
      </c>
      <c r="D23" s="8" t="n">
        <v>5</v>
      </c>
      <c r="E23" s="10" t="n">
        <v>0.278</v>
      </c>
      <c r="F23" s="8" t="inlineStr">
        <is>
          <t>Keep the primary format 30–45 minutes with chapters.</t>
        </is>
      </c>
    </row>
    <row r="24">
      <c r="A24" s="6" t="inlineStr">
        <is>
          <t>Q6 Episode length</t>
        </is>
      </c>
      <c r="B24" s="6" t="n">
        <v>4</v>
      </c>
      <c r="C24" s="6" t="inlineStr">
        <is>
          <t>Two-part binge</t>
        </is>
      </c>
      <c r="D24" s="6" t="n">
        <v>0</v>
      </c>
      <c r="E24" s="11" t="n">
        <v>0</v>
      </c>
      <c r="F24" s="6" t="inlineStr">
        <is>
          <t>Keep the primary format 30–45 minutes with chapters.</t>
        </is>
      </c>
    </row>
    <row r="25">
      <c r="A25" s="8" t="inlineStr">
        <is>
          <t>Q7 In-person event format</t>
        </is>
      </c>
      <c r="B25" s="8" t="n">
        <v>1</v>
      </c>
      <c r="C25" s="8" t="inlineStr">
        <is>
          <t>Unplugged Creative Play Sessions</t>
        </is>
      </c>
      <c r="D25" s="8" t="n">
        <v>10</v>
      </c>
      <c r="E25" s="10" t="n">
        <v>0.294</v>
      </c>
      <c r="F25" s="8" t="inlineStr">
        <is>
          <t>Make Unplugged Creative Play the first return invitation.</t>
        </is>
      </c>
    </row>
    <row r="26">
      <c r="A26" s="6" t="inlineStr">
        <is>
          <t>Q7 In-person event format</t>
        </is>
      </c>
      <c r="B26" s="6" t="n">
        <v>2</v>
      </c>
      <c r="C26" s="6" t="inlineStr">
        <is>
          <t>Low-stakes chill community meetups</t>
        </is>
      </c>
      <c r="D26" s="6" t="n">
        <v>8</v>
      </c>
      <c r="E26" s="11" t="n">
        <v>0.235</v>
      </c>
      <c r="F26" s="6" t="inlineStr">
        <is>
          <t>Make Unplugged Creative Play the first return invitation.</t>
        </is>
      </c>
    </row>
    <row r="27">
      <c r="A27" s="8" t="inlineStr">
        <is>
          <t>Q7 In-person event format</t>
        </is>
      </c>
      <c r="B27" s="8" t="n">
        <v>3</v>
      </c>
      <c r="C27" s="8" t="inlineStr">
        <is>
          <t>Content creation workshops</t>
        </is>
      </c>
      <c r="D27" s="8" t="n">
        <v>6</v>
      </c>
      <c r="E27" s="10" t="n">
        <v>0.176</v>
      </c>
      <c r="F27" s="8" t="inlineStr">
        <is>
          <t>Make Unplugged Creative Play the first return invitation.</t>
        </is>
      </c>
    </row>
    <row r="28">
      <c r="A28" s="6" t="inlineStr">
        <is>
          <t>Q7 In-person event format</t>
        </is>
      </c>
      <c r="B28" s="6" t="n">
        <v>3</v>
      </c>
      <c r="C28" s="6" t="inlineStr">
        <is>
          <t>Weekend Exhales</t>
        </is>
      </c>
      <c r="D28" s="6" t="n">
        <v>6</v>
      </c>
      <c r="E28" s="11" t="n">
        <v>0.176</v>
      </c>
      <c r="F28" s="6" t="inlineStr">
        <is>
          <t>Make Unplugged Creative Play the first return invitation.</t>
        </is>
      </c>
    </row>
    <row r="29">
      <c r="A29" s="8" t="inlineStr">
        <is>
          <t>Q7 In-person event format</t>
        </is>
      </c>
      <c r="B29" s="8" t="n">
        <v>5</v>
      </c>
      <c r="C29" s="8" t="inlineStr">
        <is>
          <t>Somatic care &amp; nervous system workshops</t>
        </is>
      </c>
      <c r="D29" s="8" t="n">
        <v>4</v>
      </c>
      <c r="E29" s="10" t="n">
        <v>0.118</v>
      </c>
      <c r="F29" s="8" t="inlineStr">
        <is>
          <t>Make Unplugged Creative Play the first return invitation.</t>
        </is>
      </c>
    </row>
    <row r="30">
      <c r="A30" s="6" t="inlineStr">
        <is>
          <t>Q8 Book club focus</t>
        </is>
      </c>
      <c r="B30" s="6" t="n">
        <v>1</v>
      </c>
      <c r="C30" s="6" t="inlineStr">
        <is>
          <t>Mindful Career &amp; Philosophy</t>
        </is>
      </c>
      <c r="D30" s="6" t="n">
        <v>9</v>
      </c>
      <c r="E30" s="11" t="n">
        <v>0.346</v>
      </c>
      <c r="F30" s="6" t="inlineStr">
        <is>
          <t>Test a time-bounded Mindful Career &amp; Philosophy club.</t>
        </is>
      </c>
    </row>
    <row r="31">
      <c r="A31" s="8" t="inlineStr">
        <is>
          <t>Q8 Book club focus</t>
        </is>
      </c>
      <c r="B31" s="8" t="n">
        <v>2</v>
      </c>
      <c r="C31" s="8" t="inlineStr">
        <is>
          <t>Creative Process &amp; Recovery</t>
        </is>
      </c>
      <c r="D31" s="8" t="n">
        <v>6</v>
      </c>
      <c r="E31" s="10" t="n">
        <v>0.231</v>
      </c>
      <c r="F31" s="8" t="inlineStr">
        <is>
          <t>Test a time-bounded Mindful Career &amp; Philosophy club.</t>
        </is>
      </c>
    </row>
    <row r="32">
      <c r="A32" s="6" t="inlineStr">
        <is>
          <t>Q8 Book club focus</t>
        </is>
      </c>
      <c r="B32" s="6" t="n">
        <v>2</v>
      </c>
      <c r="C32" s="6" t="inlineStr">
        <is>
          <t>Fiction, Poetry, Storytelling</t>
        </is>
      </c>
      <c r="D32" s="6" t="n">
        <v>6</v>
      </c>
      <c r="E32" s="11" t="n">
        <v>0.231</v>
      </c>
      <c r="F32" s="6" t="inlineStr">
        <is>
          <t>Test a time-bounded Mindful Career &amp; Philosophy club.</t>
        </is>
      </c>
    </row>
    <row r="33">
      <c r="A33" s="8" t="inlineStr">
        <is>
          <t>Q8 Book club focus</t>
        </is>
      </c>
      <c r="B33" s="8" t="n">
        <v>4</v>
      </c>
      <c r="C33" s="8" t="inlineStr">
        <is>
          <t>Somatic Wellness &amp; Rest</t>
        </is>
      </c>
      <c r="D33" s="8" t="n">
        <v>5</v>
      </c>
      <c r="E33" s="10" t="n">
        <v>0.192</v>
      </c>
      <c r="F33" s="8" t="inlineStr">
        <is>
          <t>Test a time-bounded Mindful Career &amp; Philosophy club.</t>
        </is>
      </c>
    </row>
  </sheetData>
  <autoFilter ref="A4:F4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42" customWidth="1" min="4" max="4"/>
    <col width="40" customWidth="1" min="5" max="5"/>
  </cols>
  <sheetData>
    <row r="1" ht="36" customHeight="1">
      <c r="A1" s="1" t="inlineStr">
        <is>
          <t>TEAM + BOUNDARIES</t>
        </is>
      </c>
    </row>
    <row r="2" ht="30" customHeight="1">
      <c r="A2" s="2" t="inlineStr">
        <is>
          <t>Care needs owners. Ownership does not erase capacity.</t>
        </is>
      </c>
    </row>
    <row r="4" ht="28" customHeight="1">
      <c r="A4" s="5" t="inlineStr">
        <is>
          <t>Person / role</t>
        </is>
      </c>
      <c r="B4" s="5" t="inlineStr">
        <is>
          <t>Public pathway lane</t>
        </is>
      </c>
      <c r="C4" s="5" t="inlineStr">
        <is>
          <t>Owns</t>
        </is>
      </c>
      <c r="D4" s="5" t="inlineStr">
        <is>
          <t>Boundary</t>
        </is>
      </c>
      <c r="E4" s="5" t="inlineStr">
        <is>
          <t>Best ask</t>
        </is>
      </c>
    </row>
    <row r="5">
      <c r="A5" s="8" t="inlineStr">
        <is>
          <t>Sunshine • Founding pillar</t>
        </is>
      </c>
      <c r="B5" s="8" t="inlineStr">
        <is>
          <t>Public home + communication</t>
        </is>
      </c>
      <c r="C5" s="8" t="inlineStr">
        <is>
          <t>Public pages, follow-up, promo batching, sponsorship, creative direction</t>
        </is>
      </c>
      <c r="D5" s="8" t="inlineStr">
        <is>
          <t>Can operate remotely; avoid rebuilding each campaign</t>
        </is>
      </c>
      <c r="E5" s="8" t="inlineStr">
        <is>
          <t>A decision or deliverable with due date</t>
        </is>
      </c>
    </row>
    <row r="6">
      <c r="A6" s="6" t="inlineStr">
        <is>
          <t>Bingle • Momentum keeper</t>
        </is>
      </c>
      <c r="B6" s="6" t="inlineStr">
        <is>
          <t>Return experience</t>
        </is>
      </c>
      <c r="C6" s="6" t="inlineStr">
        <is>
          <t>In-person warmth, studio content, repeat-attendee relationships, workshops</t>
        </is>
      </c>
      <c r="D6" s="6" t="inlineStr">
        <is>
          <t>Should not carry every day-of detail</t>
        </is>
      </c>
      <c r="E6" s="6" t="inlineStr">
        <is>
          <t>A direct invitation and clear room role</t>
        </is>
      </c>
    </row>
    <row r="7">
      <c r="A7" s="8" t="inlineStr">
        <is>
          <t>Monica • Steady presence</t>
        </is>
      </c>
      <c r="B7" s="8" t="inlineStr">
        <is>
          <t>Synthesis + bridge</t>
        </is>
      </c>
      <c r="C7" s="8" t="inlineStr">
        <is>
          <t>Relationship context, aligned introductions, deeper invitations, systems when inspired</t>
        </is>
      </c>
      <c r="D7" s="8" t="inlineStr">
        <is>
          <t>Async-first; school first; invitation, not obligation</t>
        </is>
      </c>
      <c r="E7" s="8" t="inlineStr">
        <is>
          <t>Written context and one concrete ask under 15 minutes</t>
        </is>
      </c>
    </row>
    <row r="8">
      <c r="A8" s="6" t="inlineStr">
        <is>
          <t>Omar • Tech anchor</t>
        </is>
      </c>
      <c r="B8" s="6" t="inlineStr">
        <is>
          <t>Podcast return point</t>
        </is>
      </c>
      <c r="C8" s="6" t="inlineStr">
        <is>
          <t>Gear, audio, media pre-load, technical status</t>
        </is>
      </c>
      <c r="D8" s="6" t="inlineStr">
        <is>
          <t>Needs media by Thursday night for Friday recording</t>
        </is>
      </c>
      <c r="E8" s="6" t="inlineStr">
        <is>
          <t>Exact files and deadline</t>
        </is>
      </c>
    </row>
    <row r="9">
      <c r="A9" s="8" t="inlineStr">
        <is>
          <t>Seasonal support</t>
        </is>
      </c>
      <c r="B9" s="8" t="inlineStr">
        <is>
          <t>Event care</t>
        </is>
      </c>
      <c r="C9" s="8" t="inlineStr">
        <is>
          <t>Setup, cleanup, welcoming, collateral</t>
        </is>
      </c>
      <c r="D9" s="8" t="inlineStr">
        <is>
          <t>Event-specific; not permanent invisible labor</t>
        </is>
      </c>
      <c r="E9" s="8" t="inlineStr">
        <is>
          <t>Specific date, time block, and scope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26" customWidth="1" min="3" max="3"/>
    <col width="50" customWidth="1" min="4" max="4"/>
  </cols>
  <sheetData>
    <row r="1" ht="36" customHeight="1">
      <c r="A1" s="1" t="inlineStr">
        <is>
          <t>RESOURCES + SETTINGS</t>
        </is>
      </c>
    </row>
    <row r="2" ht="30" customHeight="1">
      <c r="A2" s="2" t="inlineStr">
        <is>
          <t>Public and internal paths stay separate. No accidental backstage tours.</t>
        </is>
      </c>
    </row>
    <row r="4" ht="28" customHeight="1">
      <c r="A4" s="5" t="inlineStr">
        <is>
          <t>Resource</t>
        </is>
      </c>
      <c r="B4" s="5" t="inlineStr">
        <is>
          <t>URL / value</t>
        </is>
      </c>
      <c r="C4" s="5" t="inlineStr">
        <is>
          <t>Visibility</t>
        </is>
      </c>
      <c r="D4" s="5" t="inlineStr">
        <is>
          <t>Use</t>
        </is>
      </c>
    </row>
    <row r="5">
      <c r="A5" s="8" t="inlineStr">
        <is>
          <t>Public Create Well domain</t>
        </is>
      </c>
      <c r="B5" s="8" t="inlineStr">
        <is>
          <t>[PUBLIC CREATE WELL DOMAIN]</t>
        </is>
      </c>
      <c r="C5" s="8" t="inlineStr">
        <is>
          <t>PUBLIC</t>
        </is>
      </c>
      <c r="D5" s="8" t="inlineStr">
        <is>
          <t>Future website, community signup, events, podcast, attendee pathway</t>
        </is>
      </c>
    </row>
    <row r="6">
      <c r="A6" s="6" t="inlineStr">
        <is>
          <t>Temporary public link hub</t>
        </is>
      </c>
      <c r="B6" s="19" t="inlineStr">
        <is>
          <t>https://linktr.ee/brbcreatingwell</t>
        </is>
      </c>
      <c r="C6" s="6" t="inlineStr">
        <is>
          <t>PUBLIC</t>
        </is>
      </c>
      <c r="D6" s="6" t="inlineStr">
        <is>
          <t>Podcast destinations until public domain is live</t>
        </is>
      </c>
    </row>
    <row r="7">
      <c r="A7" s="8" t="inlineStr">
        <is>
          <t>About Create Well</t>
        </is>
      </c>
      <c r="B7" s="19" t="inlineStr">
        <is>
          <t>https://aboutcreatewell.netlify.app/</t>
        </is>
      </c>
      <c r="C7" s="8" t="inlineStr">
        <is>
          <t>PUBLIC / LEGACY</t>
        </is>
      </c>
      <c r="D7" s="8" t="inlineStr">
        <is>
          <t>Brand context until folded into the new public home</t>
        </is>
      </c>
    </row>
    <row r="8">
      <c r="A8" s="6" t="inlineStr">
        <is>
          <t>Launch event archive</t>
        </is>
      </c>
      <c r="B8" s="19" t="inlineStr">
        <is>
          <t>https://partiful.com/e/HaA3zjBBmMzbNQDgicNd</t>
        </is>
      </c>
      <c r="C8" s="6" t="inlineStr">
        <is>
          <t>PUBLIC</t>
        </is>
      </c>
      <c r="D8" s="6" t="inlineStr">
        <is>
          <t>Past event receipt</t>
        </is>
      </c>
    </row>
    <row r="9">
      <c r="A9" s="8" t="inlineStr">
        <is>
          <t>CR8W dashboard</t>
        </is>
      </c>
      <c r="B9" s="19" t="inlineStr">
        <is>
          <t>https://cr8w.com/</t>
        </is>
      </c>
      <c r="C9" s="8" t="inlineStr">
        <is>
          <t>TEAM ONLY</t>
        </is>
      </c>
      <c r="D9" s="8" t="inlineStr">
        <is>
          <t>Internal operations, Topic Well, roles, production, Depanty</t>
        </is>
      </c>
    </row>
    <row r="10">
      <c r="A10" s="6" t="inlineStr">
        <is>
          <t>Launch event team overview</t>
        </is>
      </c>
      <c r="B10" s="19" t="inlineStr">
        <is>
          <t>https://app.notion.com/p/CR8W-PODCAST-LAUNCH-EVENT-TEAM-OVERVIEW-3a58966645f48037b6fee1d2ccfed3ff?source=copy_link</t>
        </is>
      </c>
      <c r="C10" s="6" t="inlineStr">
        <is>
          <t>TEAM ONLY</t>
        </is>
      </c>
      <c r="D10" s="6" t="inlineStr">
        <is>
          <t>Live event source and verification</t>
        </is>
      </c>
    </row>
    <row r="11">
      <c r="A11" s="8" t="inlineStr">
        <is>
          <t>How We Flow</t>
        </is>
      </c>
      <c r="B11" s="8" t="inlineStr">
        <is>
          <t>Create Well Collective — How We Flow (Site Clone).md</t>
        </is>
      </c>
      <c r="C11" s="8" t="inlineStr">
        <is>
          <t>TEAM ONLY</t>
        </is>
      </c>
      <c r="D11" s="8" t="inlineStr">
        <is>
          <t>Roles, monthly rhythm, event lifecycle, continuity</t>
        </is>
      </c>
    </row>
    <row r="12">
      <c r="A12" s="6" t="inlineStr">
        <is>
          <t>Podcast notes</t>
        </is>
      </c>
      <c r="B12" s="6" t="inlineStr">
        <is>
          <t>CR8W Pod Notes + S(ho)w Flow.docx</t>
        </is>
      </c>
      <c r="C12" s="6" t="inlineStr">
        <is>
          <t>TEAM ONLY</t>
        </is>
      </c>
      <c r="D12" s="6" t="inlineStr">
        <is>
          <t>Friday rhythm, rituals, voice, technical receipts</t>
        </is>
      </c>
    </row>
    <row r="13">
      <c r="A13" s="8" t="inlineStr">
        <is>
          <t>Topic Well</t>
        </is>
      </c>
      <c r="B13" s="8" t="inlineStr">
        <is>
          <t>The_Topic_Well.pdf</t>
        </is>
      </c>
      <c r="C13" s="8" t="inlineStr">
        <is>
          <t>TEAM ONLY</t>
        </is>
      </c>
      <c r="D13" s="8" t="inlineStr">
        <is>
          <t>Drops, Monny synthesis, gut response, locked topic</t>
        </is>
      </c>
    </row>
    <row r="14">
      <c r="A14" s="6" t="inlineStr">
        <is>
          <t>iMessage sources</t>
        </is>
      </c>
      <c r="B14" s="6" t="inlineStr">
        <is>
          <t>Monshine • CR8W • Create Well Hoes</t>
        </is>
      </c>
      <c r="C14" s="6" t="inlineStr">
        <is>
          <t>TEAM ONLY</t>
        </is>
      </c>
      <c r="D14" s="6" t="inlineStr">
        <is>
          <t>Live nuance and decision receipts</t>
        </is>
      </c>
    </row>
    <row r="17" ht="25" customHeight="1">
      <c r="A17" s="3" t="inlineStr">
        <is>
          <t>PUBLIC DOMAIN REQUIREMENTS</t>
        </is>
      </c>
    </row>
    <row r="18" ht="28" customHeight="1">
      <c r="A18" s="5" t="inlineStr">
        <is>
          <t>Requirement</t>
        </is>
      </c>
      <c r="B18" s="5" t="inlineStr">
        <is>
          <t>Decision</t>
        </is>
      </c>
      <c r="C18" s="5" t="inlineStr">
        <is>
          <t>Status</t>
        </is>
      </c>
      <c r="D18" s="5" t="inlineStr">
        <is>
          <t>Notes</t>
        </is>
      </c>
    </row>
    <row r="19">
      <c r="A19" s="8" t="inlineStr">
        <is>
          <t>Must not contain CR8W</t>
        </is>
      </c>
      <c r="B19" s="8" t="inlineStr">
        <is>
          <t>Required</t>
        </is>
      </c>
      <c r="C19" s="8" t="inlineStr">
        <is>
          <t>Locked</t>
        </is>
      </c>
      <c r="D19" s="8" t="inlineStr">
        <is>
          <t>CR8W remains internal shorthand and team workspace</t>
        </is>
      </c>
    </row>
    <row r="20">
      <c r="A20" s="6" t="inlineStr">
        <is>
          <t>Easy to say aloud at events</t>
        </is>
      </c>
      <c r="B20" s="6" t="inlineStr">
        <is>
          <t>Required</t>
        </is>
      </c>
      <c r="C20" s="6" t="inlineStr">
        <is>
          <t>Open</t>
        </is>
      </c>
      <c r="D20" s="6" t="inlineStr">
        <is>
          <t>Test QR and verbal recall</t>
        </is>
      </c>
    </row>
    <row r="21">
      <c r="A21" s="8" t="inlineStr">
        <is>
          <t>Supports public home + /events + /podcast + /come-home</t>
        </is>
      </c>
      <c r="B21" s="8" t="inlineStr">
        <is>
          <t>Required</t>
        </is>
      </c>
      <c r="C21" s="8" t="inlineStr">
        <is>
          <t>Open</t>
        </is>
      </c>
      <c r="D21" s="8" t="inlineStr">
        <is>
          <t>One public home, not many micro-sites</t>
        </is>
      </c>
    </row>
    <row r="22">
      <c r="A22" s="6" t="inlineStr">
        <is>
          <t>Signup consent and privacy language</t>
        </is>
      </c>
      <c r="B22" s="6" t="inlineStr">
        <is>
          <t>Required</t>
        </is>
      </c>
      <c r="C22" s="6" t="inlineStr">
        <is>
          <t>Open</t>
        </is>
      </c>
      <c r="D22" s="6" t="inlineStr">
        <is>
          <t>Track only permissioned relationships</t>
        </is>
      </c>
    </row>
    <row r="23">
      <c r="A23" s="8" t="inlineStr">
        <is>
          <t>Redirect legacy public links</t>
        </is>
      </c>
      <c r="B23" s="8" t="inlineStr">
        <is>
          <t>Preferred</t>
        </is>
      </c>
      <c r="C23" s="8" t="inlineStr">
        <is>
          <t>Later</t>
        </is>
      </c>
      <c r="D23" s="8" t="inlineStr">
        <is>
          <t>Do after public domain is stable</t>
        </is>
      </c>
    </row>
  </sheetData>
  <autoFilter ref="A18:D18"/>
  <mergeCells count="3">
    <mergeCell ref="A1:D1"/>
    <mergeCell ref="A17:D17"/>
    <mergeCell ref="A2:D2"/>
  </mergeCells>
  <conditionalFormatting sqref="C5:C30">
    <cfRule type="expression" priority="1" dxfId="1">
      <formula>C5="TEAM ONLY"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58" customWidth="1" min="4" max="4"/>
    <col width="55" customWidth="1" min="5" max="5"/>
  </cols>
  <sheetData>
    <row r="1" ht="36" customHeight="1">
      <c r="A1" s="1" t="inlineStr">
        <is>
          <t>CHANGE LOG</t>
        </is>
      </c>
    </row>
    <row r="2" ht="30" customHeight="1">
      <c r="A2" s="2" t="inlineStr">
        <is>
          <t>Version receipt. Change the system only when the current flow produces evidence.</t>
        </is>
      </c>
    </row>
    <row r="4" ht="28" customHeight="1">
      <c r="A4" s="5" t="inlineStr">
        <is>
          <t>Date</t>
        </is>
      </c>
      <c r="B4" s="5" t="inlineStr">
        <is>
          <t>Version</t>
        </is>
      </c>
      <c r="C4" s="5" t="inlineStr">
        <is>
          <t>Changed by</t>
        </is>
      </c>
      <c r="D4" s="5" t="inlineStr">
        <is>
          <t>What changed</t>
        </is>
      </c>
      <c r="E4" s="5" t="inlineStr">
        <is>
          <t>Why</t>
        </is>
      </c>
    </row>
    <row r="5">
      <c r="A5" s="8" t="inlineStr">
        <is>
          <t>2026-08-02</t>
        </is>
      </c>
      <c r="B5" s="8" t="inlineStr">
        <is>
          <t>v2.0</t>
        </is>
      </c>
      <c r="C5" s="8" t="inlineStr">
        <is>
          <t>Assistant</t>
        </is>
      </c>
      <c r="D5" s="8" t="inlineStr">
        <is>
          <t>Rebuilt as a website-shaped Sheets dashboard with a five-stage attendee return pathway</t>
        </is>
      </c>
      <c r="E5" s="8" t="inlineStr">
        <is>
          <t>Integrate public community strategy without exposing cr8w.com</t>
        </is>
      </c>
    </row>
    <row r="6">
      <c r="A6" s="6" t="inlineStr">
        <is>
          <t>2026-08-02</t>
        </is>
      </c>
      <c r="B6" s="6" t="inlineStr">
        <is>
          <t>v2.0</t>
        </is>
      </c>
      <c r="C6" s="6" t="inlineStr">
        <is>
          <t>Monica</t>
        </is>
      </c>
      <c r="D6" s="6" t="inlineStr">
        <is>
          <t>Reserved cr8w.com for team use only; public domain separated</t>
        </is>
      </c>
      <c r="E6" s="6" t="inlineStr">
        <is>
          <t>Protect internal operations and clarify audience pathways</t>
        </is>
      </c>
    </row>
    <row r="7">
      <c r="A7" s="8" t="inlineStr">
        <is>
          <t>2026-08-02</t>
        </is>
      </c>
      <c r="B7" s="8" t="inlineStr">
        <is>
          <t>v2.0</t>
        </is>
      </c>
      <c r="C7" s="8" t="inlineStr">
        <is>
          <t>Assistant</t>
        </is>
      </c>
      <c r="D7" s="8" t="inlineStr">
        <is>
          <t>Added attendee relationship tracker, event return rhythm, copy bank, metrics, survey signals, roles, and settings</t>
        </is>
      </c>
      <c r="E7" s="8" t="inlineStr">
        <is>
          <t>Use one light system instead of another app or funnel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2026-08-02T12:58:07Z</dcterms:created>
  <dcterms:modified xmlns:dcterms="http://purl.org/dc/terms/" xmlns:xsi="http://www.w3.org/2001/XMLSchema-instance" xsi:type="dcterms:W3CDTF">2026-08-02T12:58:08Z</dcterms:modified>
</cp:coreProperties>
</file>